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844430c54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3f99cecdbd54b41"/>
    <x:sheet xmlns:r="http://schemas.openxmlformats.org/officeDocument/2006/relationships" name="Outputs" sheetId="2" r:id="Rc0518ad96e274ed4"/>
    <x:sheet xmlns:r="http://schemas.openxmlformats.org/officeDocument/2006/relationships" name="Engine" sheetId="3" r:id="R4c64e9729e3e4cb9"/>
    <x:sheet xmlns:r="http://schemas.openxmlformats.org/officeDocument/2006/relationships" name="Validation" sheetId="4" r:id="R685f284943874ae1"/>
    <x:sheet xmlns:r="http://schemas.openxmlformats.org/officeDocument/2006/relationships" name="Assumptions" sheetId="5" r:id="R9096fc882a34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+0;-0;0"/>
    <x:numFmt numFmtId="165" formatCode="0.000"/>
  </x:numFmts>
  <x:fonts count="8">
    <x:font>
      <x:sz val="11"/>
      <x:color theme="1"/>
      <x:name val="Calibri"/>
      <x:family val="2"/>
      <x:scheme val="minor"/>
    </x:font>
    <x:font>
      <x:b/>
      <x:sz val="16"/>
      <x:color rgb="001F4E79"/>
      <x:name val="Calibri"/>
    </x:font>
    <x:font>
      <x:b/>
      <x:sz val="11"/>
      <x:color rgb="001F4E79"/>
      <x:name val="Calibri"/>
    </x:font>
    <x:font>
      <x:sz val="11"/>
      <x:color rgb="00000000"/>
      <x:name val="Calibri"/>
    </x:font>
    <x:font>
      <x:i/>
      <x:sz val="10"/>
      <x:color rgb="00595959"/>
      <x:name val="Calibri"/>
    </x:font>
    <x:font>
      <x:sz val="11"/>
      <x:color rgb="000000FF"/>
      <x:name val="Calibri"/>
    </x:font>
    <x:font>
      <x:b/>
      <x:sz val="12"/>
      <x:color rgb="00FFFFFF"/>
      <x:name val="Calibri"/>
    </x:font>
    <x:font>
      <x:b/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F2F2F2"/>
      </x:patternFill>
    </x:fill>
    <x:fill>
      <x:patternFill patternType="solid">
        <x:fgColor rgb="00FFF2CC"/>
      </x:patternFill>
    </x:fill>
    <x:fill>
      <x:patternFill patternType="solid">
        <x:fgColor rgb="001F4E79"/>
      </x:patternFill>
    </x:fill>
  </x:fills>
  <x:borders count="3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Alignment="1">
      <x:alignment horizontal="left" vertical="center"/>
    </x:xf>
    <x:xf numFmtId="0" fontId="2" fillId="2" borderId="0" xfId="0" applyAlignment="1">
      <x:alignment horizontal="left" vertical="center" wrapText="1"/>
    </x:xf>
    <x:xf numFmtId="0" fontId="3" fillId="0" borderId="1" xfId="0" applyAlignment="1">
      <x:alignment horizontal="left" vertical="center" wrapText="1"/>
    </x:xf>
    <x:xf numFmtId="0" fontId="4" fillId="3" borderId="1" xfId="0" applyAlignment="1">
      <x:alignment horizontal="center" vertical="center" wrapText="1"/>
    </x:xf>
    <x:xf numFmtId="0" fontId="5" fillId="4" borderId="1" xfId="0" applyAlignment="1">
      <x:alignment horizontal="right" vertical="center"/>
    </x:xf>
    <x:xf numFmtId="0" fontId="0" fillId="3" borderId="1" xfId="0"/>
    <x:xf numFmtId="0" fontId="5" fillId="4" borderId="1" xfId="0" applyAlignment="1">
      <x:alignment horizontal="left" vertical="center" wrapText="1"/>
    </x:xf>
    <x:xf numFmtId="0" fontId="3" fillId="0" borderId="1" xfId="0"/>
    <x:xf numFmtId="0" fontId="4" fillId="3" borderId="0" xfId="0" applyAlignment="1">
      <x:alignment horizontal="left" vertical="top" wrapText="1"/>
    </x:xf>
    <x:xf numFmtId="0" fontId="6" fillId="5" borderId="1" xfId="0" applyAlignment="1">
      <x:alignment horizontal="center" vertical="center" wrapText="1"/>
    </x:xf>
    <x:xf numFmtId="1" fontId="3" fillId="0" borderId="1" xfId="0" applyAlignment="1">
      <x:alignment horizontal="right" vertical="center"/>
    </x:xf>
    <x:xf numFmtId="0" fontId="3" fillId="0" borderId="1" xfId="0" applyAlignment="1">
      <x:alignment horizontal="center" vertical="center" wrapText="1"/>
    </x:xf>
    <x:xf numFmtId="164" fontId="3" fillId="0" borderId="1" xfId="0" applyAlignment="1">
      <x:alignment horizontal="right" vertical="center"/>
    </x:xf>
    <x:xf numFmtId="2" fontId="3" fillId="0" borderId="1" xfId="0" applyAlignment="1">
      <x:alignment horizontal="right" vertical="center"/>
    </x:xf>
    <x:xf numFmtId="0" fontId="3" fillId="0" borderId="1" xfId="0" applyAlignment="1">
      <x:alignment horizontal="right" vertical="center"/>
    </x:xf>
    <x:xf numFmtId="165" fontId="3" fillId="0" borderId="1" xfId="0" applyAlignment="1">
      <x:alignment horizontal="right" vertical="center"/>
    </x:xf>
    <x:xf numFmtId="0" fontId="3" fillId="3" borderId="1" xfId="0" applyAlignment="1">
      <x:alignment horizontal="right" vertical="center"/>
    </x:xf>
    <x:xf numFmtId="0" fontId="3" fillId="3" borderId="1" xfId="0"/>
    <x:xf numFmtId="0" fontId="7" fillId="3" borderId="1" xfId="0" applyAlignment="1">
      <x:alignment horizontal="right" vertical="center"/>
    </x:xf>
    <x:xf numFmtId="0" fontId="3" fillId="3" borderId="1" xfId="0" applyAlignment="1">
      <x:alignment horizontal="left" vertical="center" wrapText="1"/>
    </x:xf>
    <x:xf numFmtId="0" fontId="0" fillId="0" borderId="2" xfId="0"/>
    <x:xf numFmtId="0" fontId="0" fillId="0" borderId="1" xfId="0" applyAlignment="1">
      <x:alignment horizontal="left" vertical="center" wrapText="1"/>
    </x:xf>
    <x:xf numFmtId="0" fontId="4" fillId="3" borderId="1" xfId="0" applyAlignment="1">
      <x:alignment horizontal="left" vertical="center" wrapText="1"/>
    </x:xf>
    <x:xf numFmtId="164" fontId="3" fillId="0" borderId="1" xfId="0" applyAlignment="1">
      <x:alignment horizontal="right" vertical="center"/>
    </x:xf>
    <x:xf numFmtId="165" fontId="3" fillId="0" borderId="1" xfId="0" applyAlignment="1">
      <x:alignment horizontal="right" vertical="center"/>
    </x:xf>
    <x:xf numFmtId="0" fontId="3" fillId="0" borderId="1" xfId="0" applyAlignment="1">
      <x:alignment horizontal="left" vertical="top" wrapText="1"/>
    </x:xf>
    <x:xf numFmtId="0" fontId="5" fillId="4" borderId="1" xfId="0" applyAlignment="1">
      <x:alignment horizontal="righ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0f8e38a78418e" /><Relationship Type="http://schemas.openxmlformats.org/officeDocument/2006/relationships/theme" Target="/xl/theme/theme1.xml" Id="Rf4c9529c0dbc4333" /><Relationship Type="http://schemas.openxmlformats.org/officeDocument/2006/relationships/sharedStrings" Target="/xl/sharedStrings.xml" Id="R2581d1dc74214ace" /><Relationship Type="http://schemas.openxmlformats.org/officeDocument/2006/relationships/worksheet" Target="/xl/worksheets/sheet1.xml" Id="Rb3f99cecdbd54b41" /><Relationship Type="http://schemas.openxmlformats.org/officeDocument/2006/relationships/worksheet" Target="/xl/worksheets/sheet2.xml" Id="Rc0518ad96e274ed4" /><Relationship Type="http://schemas.openxmlformats.org/officeDocument/2006/relationships/worksheet" Target="/xl/worksheets/sheet3.xml" Id="R4c64e9729e3e4cb9" /><Relationship Type="http://schemas.openxmlformats.org/officeDocument/2006/relationships/worksheet" Target="/xl/worksheets/sheet4.xml" Id="R685f284943874ae1" /><Relationship Type="http://schemas.openxmlformats.org/officeDocument/2006/relationships/worksheet" Target="/xl/worksheets/sheet5.xml" Id="R9096fc882a3445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customWidth="1"/>
    <x:col min="2" max="2" width="18" customWidth="1"/>
    <x:col min="3" max="3" width="32" customWidth="1"/>
    <x:col min="4" max="4" width="18" customWidth="1"/>
    <x:col min="5" max="5" width="2" customWidth="1"/>
    <x:col min="6" max="6" width="34" customWidth="1"/>
    <x:col min="7" max="7" width="18" customWidth="1"/>
  </x:cols>
  <x:sheetData>
    <x:row r="1" ht="28" customHeight="1">
      <x:c r="A1" s="1" t="inlineStr">
        <x:is>
          <x:t xml:space="preserve">BikeFit AI – Calculation Engine (v0.1) – Inputs</x:t>
        </x:is>
      </x:c>
    </x:row>
    <x:row r="3" ht="20" customHeight="1">
      <x:c r="A3" s="2" t="inlineStr">
        <x:is>
          <x:t xml:space="preserve">Rider body measurements (enter what you know; blanks use estimates)</x:t>
        </x:is>
      </x:c>
      <x:c r="F3" s="2" t="inlineStr">
        <x:is>
          <x:t xml:space="preserve">Optional: Bike geometry &amp; cockpit to compute stem/spacer targets</x:t>
        </x:is>
      </x:c>
    </x:row>
    <x:row r="4">
      <x:c r="A4" s="3" t="inlineStr">
        <x:is>
          <x:t xml:space="preserve">Height</x:t>
        </x:is>
      </x:c>
      <x:c r="B4" s="4" t="inlineStr">
        <x:is>
          <x:t xml:space="preserve">cm</x:t>
        </x:is>
      </x:c>
      <x:c r="C4" s="5" t="n">
        <x:v>170</x:v>
      </x:c>
      <x:c r="F4" s="3" t="inlineStr">
        <x:is>
          <x:t xml:space="preserve">Frame reach</x:t>
        </x:is>
      </x:c>
      <x:c r="G4" s="5" t="inlineStr">
        <x:is>
          <x:t xml:space="preserve"/>
        </x:is>
      </x:c>
    </x:row>
    <x:row r="5">
      <x:c r="A5" s="3" t="inlineStr">
        <x:is>
          <x:t xml:space="preserve">Inseam</x:t>
        </x:is>
      </x:c>
      <x:c r="B5" s="4" t="inlineStr">
        <x:is>
          <x:t xml:space="preserve">cm</x:t>
        </x:is>
      </x:c>
      <x:c r="C5" s="5" t="n">
        <x:v>78</x:v>
      </x:c>
      <x:c r="F5" s="3" t="inlineStr">
        <x:is>
          <x:t xml:space="preserve">Frame stack</x:t>
        </x:is>
      </x:c>
      <x:c r="G5" s="5" t="inlineStr">
        <x:is>
          <x:t xml:space="preserve"/>
        </x:is>
      </x:c>
    </x:row>
    <x:row r="6">
      <x:c r="A6" s="3" t="inlineStr">
        <x:is>
          <x:t xml:space="preserve">Torso length (sternal notch to pubic bone)</x:t>
        </x:is>
      </x:c>
      <x:c r="B6" s="4" t="inlineStr">
        <x:is>
          <x:t xml:space="preserve">cm</x:t>
        </x:is>
      </x:c>
      <x:c r="C6" s="5" t="n">
        <x:v>58</x:v>
      </x:c>
      <x:c r="F6" s="3" t="inlineStr">
        <x:is>
          <x:t xml:space="preserve">Stem angle (positive up)</x:t>
        </x:is>
      </x:c>
      <x:c r="G6" s="5" t="n">
        <x:v>6</x:v>
      </x:c>
    </x:row>
    <x:row r="7">
      <x:c r="A7" s="3" t="inlineStr">
        <x:is>
          <x:t xml:space="preserve">Arm length (acromion to wrist)</x:t>
        </x:is>
      </x:c>
      <x:c r="B7" s="4" t="inlineStr">
        <x:is>
          <x:t xml:space="preserve">cm</x:t>
        </x:is>
      </x:c>
      <x:c r="C7" s="5" t="n">
        <x:v>62</x:v>
      </x:c>
      <x:c r="F7" s="3" t="inlineStr">
        <x:is>
          <x:t xml:space="preserve">Handlebar reach (spec)</x:t>
        </x:is>
      </x:c>
      <x:c r="G7" s="5" t="n">
        <x:v>75</x:v>
      </x:c>
    </x:row>
    <x:row r="8">
      <x:c r="A8" s="3" t="inlineStr">
        <x:is>
          <x:t xml:space="preserve">Femur length (greater trochanter to knee)</x:t>
        </x:is>
      </x:c>
      <x:c r="B8" s="4" t="inlineStr">
        <x:is>
          <x:t xml:space="preserve">cm</x:t>
        </x:is>
      </x:c>
      <x:c r="C8" s="5" t="inlineStr">
        <x:is>
          <x:t xml:space="preserve"/>
        </x:is>
      </x:c>
      <x:c r="F8" s="3" t="inlineStr">
        <x:is>
          <x:t xml:space="preserve">Handlebar stack above clamp (to bar top)</x:t>
        </x:is>
      </x:c>
      <x:c r="G8" s="5" t="n">
        <x:v>40</x:v>
      </x:c>
    </x:row>
    <x:row r="9">
      <x:c r="A9" s="3" t="inlineStr">
        <x:is>
          <x:t xml:space="preserve">Shoulder width (acromion to acromion)</x:t>
        </x:is>
      </x:c>
      <x:c r="B9" s="4" t="inlineStr">
        <x:is>
          <x:t xml:space="preserve">cm</x:t>
        </x:is>
      </x:c>
      <x:c r="C9" s="5" t="n">
        <x:v>40</x:v>
      </x:c>
    </x:row>
    <x:row r="10">
      <x:c r="A10" s="3" t="inlineStr">
        <x:is>
          <x:t xml:space="preserve">Foot length</x:t>
        </x:is>
      </x:c>
      <x:c r="B10" s="4" t="inlineStr">
        <x:is>
          <x:t xml:space="preserve">mm</x:t>
        </x:is>
      </x:c>
      <x:c r="C10" s="5" t="n">
        <x:v>270</x:v>
      </x:c>
    </x:row>
    <x:row r="12" ht="20" customHeight="1">
      <x:c r="A12" s="2" t="inlineStr">
        <x:is>
          <x:t xml:space="preserve">Rider factors</x:t>
        </x:is>
      </x:c>
    </x:row>
    <x:row r="13">
      <x:c r="A13" s="3" t="inlineStr">
        <x:is>
          <x:t xml:space="preserve">Flexibility score (1=stiff, 5=very flexible)</x:t>
        </x:is>
      </x:c>
      <x:c r="B13" s="6" t="inlineStr">
        <x:is>
          <x:t xml:space="preserve"/>
        </x:is>
      </x:c>
      <x:c r="C13" s="5" t="n">
        <x:v>3</x:v>
      </x:c>
    </x:row>
    <x:row r="14">
      <x:c r="A14" s="3" t="inlineStr">
        <x:is>
          <x:t xml:space="preserve">Core stability score (1=weak, 5=strong)</x:t>
        </x:is>
      </x:c>
      <x:c r="B14" s="6" t="inlineStr">
        <x:is>
          <x:t xml:space="preserve"/>
        </x:is>
      </x:c>
      <x:c r="C14" s="5" t="n">
        <x:v>3</x:v>
      </x:c>
    </x:row>
    <x:row r="15">
      <x:c r="A15" s="3" t="inlineStr">
        <x:is>
          <x:t xml:space="preserve">Experience level</x:t>
        </x:is>
      </x:c>
      <x:c r="B15" s="6" t="inlineStr">
        <x:is>
          <x:t xml:space="preserve"/>
        </x:is>
      </x:c>
      <x:c r="C15" s="7" t="inlineStr">
        <x:is>
          <x:t xml:space="preserve">Intermediate</x:t>
        </x:is>
      </x:c>
    </x:row>
    <x:row r="16">
      <x:c r="A16" s="3" t="inlineStr">
        <x:is>
          <x:t xml:space="preserve">Primary riding style</x:t>
        </x:is>
      </x:c>
      <x:c r="B16" s="6" t="inlineStr">
        <x:is>
          <x:t xml:space="preserve"/>
        </x:is>
      </x:c>
      <x:c r="C16" s="7" t="inlineStr">
        <x:is>
          <x:t xml:space="preserve">Road Endurance</x:t>
        </x:is>
      </x:c>
    </x:row>
    <x:row r="18" ht="20" customHeight="1">
      <x:c r="A18" s="2" t="inlineStr">
        <x:is>
          <x:t xml:space="preserve">Current bike setup (optional, for comparison)</x:t>
        </x:is>
      </x:c>
    </x:row>
    <x:row r="19">
      <x:c r="A19" s="8" t="inlineStr">
        <x:is>
          <x:t xml:space="preserve">Current saddle height (BB to saddle top)</x:t>
        </x:is>
      </x:c>
      <x:c r="B19" s="4" t="inlineStr">
        <x:is>
          <x:t xml:space="preserve">mm</x:t>
        </x:is>
      </x:c>
      <x:c r="C19" s="5" t="inlineStr">
        <x:is>
          <x:t xml:space="preserve"/>
        </x:is>
      </x:c>
    </x:row>
    <x:row r="20">
      <x:c r="A20" s="8" t="inlineStr">
        <x:is>
          <x:t xml:space="preserve">Current saddle setback (saddle nose behind BB)</x:t>
        </x:is>
      </x:c>
      <x:c r="B20" s="4" t="inlineStr">
        <x:is>
          <x:t xml:space="preserve">mm</x:t>
        </x:is>
      </x:c>
      <x:c r="C20" s="5" t="inlineStr">
        <x:is>
          <x:t xml:space="preserve"/>
        </x:is>
      </x:c>
    </x:row>
    <x:row r="21">
      <x:c r="A21" s="8" t="inlineStr">
        <x:is>
          <x:t xml:space="preserve">Current saddle-to-bar reach (nose to bar center)</x:t>
        </x:is>
      </x:c>
      <x:c r="B21" s="4" t="inlineStr">
        <x:is>
          <x:t xml:space="preserve">mm</x:t>
        </x:is>
      </x:c>
      <x:c r="C21" s="5" t="inlineStr">
        <x:is>
          <x:t xml:space="preserve"/>
        </x:is>
      </x:c>
    </x:row>
    <x:row r="22">
      <x:c r="A22" s="8" t="inlineStr">
        <x:is>
          <x:t xml:space="preserve">Current saddle-to-bar drop (saddle top to bar top)</x:t>
        </x:is>
      </x:c>
      <x:c r="B22" s="4" t="inlineStr">
        <x:is>
          <x:t xml:space="preserve">mm</x:t>
        </x:is>
      </x:c>
      <x:c r="C22" s="5" t="inlineStr">
        <x:is>
          <x:t xml:space="preserve"/>
        </x:is>
      </x:c>
    </x:row>
    <x:row r="23">
      <x:c r="A23" s="8" t="inlineStr">
        <x:is>
          <x:t xml:space="preserve">Current crank length</x:t>
        </x:is>
      </x:c>
      <x:c r="B23" s="4" t="inlineStr">
        <x:is>
          <x:t xml:space="preserve">mm</x:t>
        </x:is>
      </x:c>
      <x:c r="C23" s="5" t="inlineStr">
        <x:is>
          <x:t xml:space="preserve"/>
        </x:is>
      </x:c>
    </x:row>
    <x:row r="24">
      <x:c r="A24" s="8" t="inlineStr">
        <x:is>
          <x:t xml:space="preserve">Current handlebar width</x:t>
        </x:is>
      </x:c>
      <x:c r="B24" s="4" t="inlineStr">
        <x:is>
          <x:t xml:space="preserve">mm</x:t>
        </x:is>
      </x:c>
      <x:c r="C24" s="5" t="inlineStr">
        <x:is>
          <x:t xml:space="preserve"/>
        </x:is>
      </x:c>
    </x:row>
    <x:row r="26" ht="34" customHeight="1">
      <x:c r="A26" s="9" t="inlineStr">
        <x:is>
          <x:t xml:space="preserve">Notes: Measure inseam barefoot (floor to pubic bone). Torso/arm/femur are optional; if blank, the engine estimates them from height + population ratios. All outputs are starting points; fine-tune with comfort + pain signals.</x:t>
        </x:is>
      </x:c>
    </x:row>
    <x:row r="27" ht="10" customHeight="1"/>
  </x:sheetData>
  <x:mergeCells>
    <x:mergeCell ref="F3:G3"/>
    <x:mergeCell ref="A1:D1"/>
    <x:mergeCell ref="A18:D18"/>
    <x:mergeCell ref="A12:D12"/>
    <x:mergeCell ref="A3:D3"/>
    <x:mergeCell ref="A26:D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 ht="28" customHeight="1">
      <x:c r="A1" s="1" t="inlineStr">
        <x:is>
          <x:t xml:space="preserve">Outputs – recommended setup targets</x:t>
        </x:is>
      </x:c>
    </x:row>
    <x:row r="3" ht="22" customHeight="1">
      <x:c r="A3" s="10" t="inlineStr">
        <x:is>
          <x:t xml:space="preserve">Parameter</x:t>
        </x:is>
      </x:c>
      <x:c r="B3" s="10" t="inlineStr">
        <x:is>
          <x:t xml:space="preserve">Recommended</x:t>
        </x:is>
      </x:c>
      <x:c r="C3" s="10" t="inlineStr">
        <x:is>
          <x:t xml:space="preserve">Unit</x:t>
        </x:is>
      </x:c>
      <x:c r="D3" s="10" t="inlineStr">
        <x:is>
          <x:t xml:space="preserve">Current</x:t>
        </x:is>
      </x:c>
      <x:c r="E3" s="10" t="inlineStr">
        <x:is>
          <x:t xml:space="preserve">Delta</x:t>
        </x:is>
      </x:c>
    </x:row>
    <x:row r="4">
      <x:c r="A4" s="3" t="inlineStr">
        <x:is>
          <x:t xml:space="preserve">Saddle height (BB → saddle top)</x:t>
        </x:is>
      </x:c>
      <x:c r="B4" s="11">
        <x:f>Engine!B23</x:f>
        <x:v>687.96</x:v>
      </x:c>
      <x:c r="C4" s="12" t="inlineStr">
        <x:is>
          <x:t xml:space="preserve">mm</x:t>
        </x:is>
      </x:c>
      <x:c r="D4" s="11">
        <x:f>IF('Inputs'!C19="","",'Inputs'!C19)</x:f>
      </x:c>
      <x:c r="E4" s="24">
        <x:f>IF(D4="","",B4-D4)</x:f>
      </x:c>
    </x:row>
    <x:row r="5">
      <x:c r="A5" s="3" t="inlineStr">
        <x:is>
          <x:t xml:space="preserve">Saddle setback (nose behind BB)</x:t>
        </x:is>
      </x:c>
      <x:c r="B5" s="11">
        <x:f>Engine!B27</x:f>
        <x:v>57.425</x:v>
      </x:c>
      <x:c r="C5" s="12" t="inlineStr">
        <x:is>
          <x:t xml:space="preserve">mm</x:t>
        </x:is>
      </x:c>
      <x:c r="D5" s="11">
        <x:f>IF('Inputs'!C20="","",'Inputs'!C20)</x:f>
      </x:c>
      <x:c r="E5" s="24">
        <x:f>IF(D5="","",B5-D5)</x:f>
      </x:c>
    </x:row>
    <x:row r="6">
      <x:c r="A6" s="3" t="inlineStr">
        <x:is>
          <x:t xml:space="preserve">Saddle-to-bar reach (nose → bar center)</x:t>
        </x:is>
      </x:c>
      <x:c r="B6" s="11">
        <x:f>Engine!B29</x:f>
        <x:v>380</x:v>
      </x:c>
      <x:c r="C6" s="12" t="inlineStr">
        <x:is>
          <x:t xml:space="preserve">mm</x:t>
        </x:is>
      </x:c>
      <x:c r="D6" s="11">
        <x:f>IF('Inputs'!C21="","",'Inputs'!C21)</x:f>
      </x:c>
      <x:c r="E6" s="24">
        <x:f>IF(D6="","",B6-D6)</x:f>
      </x:c>
    </x:row>
    <x:row r="7">
      <x:c r="A7" s="3" t="inlineStr">
        <x:is>
          <x:t xml:space="preserve">Saddle-to-bar drop (saddle top → bar top)</x:t>
        </x:is>
      </x:c>
      <x:c r="B7" s="11">
        <x:f>Engine!B30</x:f>
        <x:v>58.999999999999986</x:v>
      </x:c>
      <x:c r="C7" s="12" t="inlineStr">
        <x:is>
          <x:t xml:space="preserve">mm</x:t>
        </x:is>
      </x:c>
      <x:c r="D7" s="11">
        <x:f>IF('Inputs'!C22="","",'Inputs'!C22)</x:f>
      </x:c>
      <x:c r="E7" s="24">
        <x:f>IF(D7="","",B7-D7)</x:f>
      </x:c>
    </x:row>
    <x:row r="8">
      <x:c r="A8" s="3" t="inlineStr">
        <x:is>
          <x:t xml:space="preserve">Crank length</x:t>
        </x:is>
      </x:c>
      <x:c r="B8" s="11" t="str">
        <x:f>Engine!B26</x:f>
        <x:v>167.5</x:v>
      </x:c>
      <x:c r="C8" s="12" t="inlineStr">
        <x:is>
          <x:t xml:space="preserve">mm</x:t>
        </x:is>
      </x:c>
      <x:c r="D8" s="11">
        <x:f>IF('Inputs'!C23="","",'Inputs'!C23)</x:f>
      </x:c>
      <x:c r="E8" s="24">
        <x:f>IF(D8="","",B8-D8)</x:f>
      </x:c>
    </x:row>
    <x:row r="9">
      <x:c r="A9" s="3" t="inlineStr">
        <x:is>
          <x:t xml:space="preserve">Handlebar width</x:t>
        </x:is>
      </x:c>
      <x:c r="B9" s="11">
        <x:f>Engine!B33</x:f>
        <x:v>400</x:v>
      </x:c>
      <x:c r="C9" s="12" t="inlineStr">
        <x:is>
          <x:t xml:space="preserve">mm</x:t>
        </x:is>
      </x:c>
      <x:c r="D9" s="11">
        <x:f>IF('Inputs'!C24="","",'Inputs'!C24)</x:f>
      </x:c>
      <x:c r="E9" s="24">
        <x:f>IF(D9="","",B9-D9)</x:f>
      </x:c>
    </x:row>
    <x:row r="10">
      <x:c r="A10" s="3" t="inlineStr">
        <x:is>
          <x:t xml:space="preserve">(Optional) Stem length to hit target X</x:t>
        </x:is>
      </x:c>
      <x:c r="B10" s="11">
        <x:f>IF(Engine!G37="","",Engine!G37)</x:f>
      </x:c>
      <x:c r="C10" s="12" t="inlineStr">
        <x:is>
          <x:t xml:space="preserve">mm</x:t>
        </x:is>
      </x:c>
      <x:c r="D10" s="11" t="inlineStr">
        <x:is>
          <x:t xml:space="preserve"/>
        </x:is>
      </x:c>
      <x:c r="E10" s="24">
        <x:f>IF(D10="","",B10-D10)</x:f>
      </x:c>
    </x:row>
    <x:row r="11">
      <x:c r="A11" s="3" t="inlineStr">
        <x:is>
          <x:t xml:space="preserve">(Optional) Spacer stack to hit target Y</x:t>
        </x:is>
      </x:c>
      <x:c r="B11" s="11">
        <x:f>IF(Engine!G38="","",Engine!G38)</x:f>
      </x:c>
      <x:c r="C11" s="12" t="inlineStr">
        <x:is>
          <x:t xml:space="preserve">mm</x:t>
        </x:is>
      </x:c>
      <x:c r="D11" s="11" t="inlineStr">
        <x:is>
          <x:t xml:space="preserve"/>
        </x:is>
      </x:c>
      <x:c r="E11" s="24">
        <x:f>IF(D11="","",B11-D11)</x:f>
      </x:c>
    </x:row>
    <x:row r="13" ht="30" customHeight="1">
      <x:c r="A13" s="9" t="inlineStr">
        <x:is>
          <x:t xml:space="preserve">How to use: change blue cells in Inputs. Outputs update automatically. If you enter current setup, Delta shows how much to move each parameter.</x:t>
        </x:is>
      </x:c>
    </x:row>
    <x:row r="14"/>
  </x:sheetData>
  <x:mergeCells>
    <x:mergeCell ref="A13:E14"/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customWidth="1"/>
    <x:col min="2" max="2" width="22" customWidth="1"/>
    <x:col min="3" max="3" width="22" customWidth="1"/>
    <x:col min="4" max="4" width="22" customWidth="1"/>
    <x:col min="5" max="5" width="2" customWidth="1"/>
    <x:col min="6" max="6" width="30" customWidth="1"/>
    <x:col min="7" max="7" width="22" customWidth="1"/>
  </x:cols>
  <x:sheetData>
    <x:row r="1" ht="28" customHeight="1">
      <x:c r="A1" s="1" t="inlineStr">
        <x:is>
          <x:t xml:space="preserve">Engine – intermediate calculations and outputs</x:t>
        </x:is>
      </x:c>
    </x:row>
    <x:row r="3">
      <x:c r="A3" s="2" t="inlineStr">
        <x:is>
          <x:t xml:space="preserve">Normalized inputs (mm)</x:t>
        </x:is>
      </x:c>
    </x:row>
    <x:row r="4">
      <x:c r="A4" s="3" t="inlineStr">
        <x:is>
          <x:t xml:space="preserve">Height_mm</x:t>
        </x:is>
      </x:c>
      <x:c r="B4" s="11">
        <x:f>Inputs!C4*Assumptions!B4</x:f>
        <x:v>1700</x:v>
      </x:c>
      <x:c r="C4" s="4" t="inlineStr">
        <x:is>
          <x:t xml:space="preserve">mm</x:t>
        </x:is>
      </x:c>
    </x:row>
    <x:row r="5">
      <x:c r="A5" s="3" t="inlineStr">
        <x:is>
          <x:t xml:space="preserve">Inseam_mm</x:t>
        </x:is>
      </x:c>
      <x:c r="B5" s="11">
        <x:f>Inputs!C5*Assumptions!B4</x:f>
        <x:v>780</x:v>
      </x:c>
      <x:c r="C5" s="4" t="inlineStr">
        <x:is>
          <x:t xml:space="preserve">mm</x:t>
        </x:is>
      </x:c>
    </x:row>
    <x:row r="6">
      <x:c r="A6" s="3" t="inlineStr">
        <x:is>
          <x:t xml:space="preserve">Torso_mm</x:t>
        </x:is>
      </x:c>
      <x:c r="B6" s="11">
        <x:f>IF(Inputs!C6="",B4*Assumptions!B9,Inputs!C6*Assumptions!B4)</x:f>
        <x:v>580</x:v>
      </x:c>
      <x:c r="C6" s="4" t="inlineStr">
        <x:is>
          <x:t xml:space="preserve">mm</x:t>
        </x:is>
      </x:c>
    </x:row>
    <x:row r="7">
      <x:c r="A7" s="3" t="inlineStr">
        <x:is>
          <x:t xml:space="preserve">Arm_mm</x:t>
        </x:is>
      </x:c>
      <x:c r="B7" s="11">
        <x:f>IF(Inputs!C7="",B4*Assumptions!B10,Inputs!C7*Assumptions!B4)</x:f>
        <x:v>620</x:v>
      </x:c>
      <x:c r="C7" s="4" t="inlineStr">
        <x:is>
          <x:t xml:space="preserve">mm</x:t>
        </x:is>
      </x:c>
    </x:row>
    <x:row r="8">
      <x:c r="A8" s="3" t="inlineStr">
        <x:is>
          <x:t xml:space="preserve">Femur_mm</x:t>
        </x:is>
      </x:c>
      <x:c r="B8" s="11">
        <x:f>IF(Inputs!C8="",B4*Assumptions!B11,Inputs!C8*Assumptions!B4)</x:f>
        <x:v>416.5</x:v>
      </x:c>
      <x:c r="C8" s="4" t="inlineStr">
        <x:is>
          <x:t xml:space="preserve">mm</x:t>
        </x:is>
      </x:c>
    </x:row>
    <x:row r="9">
      <x:c r="A9" s="3" t="inlineStr">
        <x:is>
          <x:t xml:space="preserve">Shoulder_mm</x:t>
        </x:is>
      </x:c>
      <x:c r="B9" s="11">
        <x:f>IF(Inputs!C9="",B4*Assumptions!B12,Inputs!C9*Assumptions!B4)</x:f>
        <x:v>400</x:v>
      </x:c>
      <x:c r="C9" s="4" t="inlineStr">
        <x:is>
          <x:t xml:space="preserve">mm</x:t>
        </x:is>
      </x:c>
    </x:row>
    <x:row r="10">
      <x:c r="A10" s="3" t="inlineStr">
        <x:is>
          <x:t xml:space="preserve">Foot_mm</x:t>
        </x:is>
      </x:c>
      <x:c r="B10" s="11">
        <x:f>Inputs!C10</x:f>
        <x:v>270</x:v>
      </x:c>
      <x:c r="C10" s="4" t="inlineStr">
        <x:is>
          <x:t xml:space="preserve">mm</x:t>
        </x:is>
      </x:c>
    </x:row>
    <x:row r="11">
      <x:c r="A11" s="3" t="inlineStr">
        <x:is>
          <x:t xml:space="preserve">Flex_norm</x:t>
        </x:is>
      </x:c>
      <x:c r="B11" s="14">
        <x:f>Assumptions!B6</x:f>
        <x:v>0.5</x:v>
      </x:c>
      <x:c r="C11" s="4" t="inlineStr">
        <x:is>
          <x:t xml:space="preserve">0..1</x:t>
        </x:is>
      </x:c>
    </x:row>
    <x:row r="12">
      <x:c r="A12" s="3" t="inlineStr">
        <x:is>
          <x:t xml:space="preserve">Core_norm</x:t>
        </x:is>
      </x:c>
      <x:c r="B12" s="14">
        <x:f>(Inputs!C14-1)/4</x:f>
        <x:v>0.5</x:v>
      </x:c>
      <x:c r="C12" s="4" t="inlineStr">
        <x:is>
          <x:t xml:space="preserve">0..1</x:t>
        </x:is>
      </x:c>
    </x:row>
    <x:row r="13">
      <x:c r="A13" s="3" t="inlineStr">
        <x:is>
          <x:t xml:space="preserve">Style</x:t>
        </x:is>
      </x:c>
      <x:c r="B13" s="15" t="str">
        <x:f>Inputs!C16</x:f>
        <x:v>Road Endurance</x:v>
      </x:c>
      <x:c r="C13" s="4" t="inlineStr">
        <x:is>
          <x:t xml:space="preserve">text</x:t>
        </x:is>
      </x:c>
    </x:row>
    <x:row r="15">
      <x:c r="A15" s="2" t="inlineStr">
        <x:is>
          <x:t xml:space="preserve">Style adjustments (looked up)</x:t>
        </x:is>
      </x:c>
    </x:row>
    <x:row r="16">
      <x:c r="A16" s="3" t="inlineStr">
        <x:is>
          <x:t xml:space="preserve">Style_col</x:t>
        </x:is>
      </x:c>
      <x:c r="B16" s="15">
        <x:f>IF(B13="MTB Trail",3,IF(B13="Road Endurance",4,IF(B13="Road Race",5,IF(B13="Time Trial/TT",6,4))))</x:f>
        <x:v>4</x:v>
      </x:c>
      <x:c r="C16" s="4" t="inlineStr">
        <x:is>
          <x:t xml:space="preserve">col index</x:t>
        </x:is>
      </x:c>
    </x:row>
    <x:row r="17">
      <x:c r="A17" s="3" t="inlineStr">
        <x:is>
          <x:t xml:space="preserve">Adj_saddle_height_coeff</x:t>
        </x:is>
      </x:c>
      <x:c r="B17" s="25">
        <x:f>Assumptions!B16 + INDEX(Assumptions!C16:F16,1,B16-2)</x:f>
        <x:v>0.882</x:v>
      </x:c>
      <x:c r="C17" s="4" t="inlineStr">
        <x:is>
          <x:t xml:space="preserve">coeff</x:t>
        </x:is>
      </x:c>
    </x:row>
    <x:row r="18">
      <x:c r="A18" s="3" t="inlineStr">
        <x:is>
          <x:t xml:space="preserve">Adj_setback_mm</x:t>
        </x:is>
      </x:c>
      <x:c r="B18" s="15">
        <x:f>Assumptions!B17 + INDEX(Assumptions!C17:F17,1,B16-2)</x:f>
        <x:v>5</x:v>
      </x:c>
      <x:c r="C18" s="4" t="inlineStr">
        <x:is>
          <x:t xml:space="preserve">mm</x:t>
        </x:is>
      </x:c>
    </x:row>
    <x:row r="19">
      <x:c r="A19" s="3" t="inlineStr">
        <x:is>
          <x:t xml:space="preserve">Adj_reach_mm</x:t>
        </x:is>
      </x:c>
      <x:c r="B19" s="15">
        <x:f>Assumptions!B18 + INDEX(Assumptions!C18:F18,1,B16-2)</x:f>
        <x:v>-15</x:v>
      </x:c>
      <x:c r="C19" s="4" t="inlineStr">
        <x:is>
          <x:t xml:space="preserve">mm</x:t>
        </x:is>
      </x:c>
    </x:row>
    <x:row r="20">
      <x:c r="A20" s="3" t="inlineStr">
        <x:is>
          <x:t xml:space="preserve">Adj_drop_mm</x:t>
        </x:is>
      </x:c>
      <x:c r="B20" s="15">
        <x:f>Assumptions!B19 + INDEX(Assumptions!C19:F19,1,B16-2)</x:f>
        <x:v>-20</x:v>
      </x:c>
      <x:c r="C20" s="4" t="inlineStr">
        <x:is>
          <x:t xml:space="preserve">mm</x:t>
        </x:is>
      </x:c>
    </x:row>
    <x:row r="22">
      <x:c r="A22" s="2" t="inlineStr">
        <x:is>
          <x:t xml:space="preserve">Primary outputs (targets)</x:t>
        </x:is>
      </x:c>
      <x:c r="F22" s="2" t="inlineStr">
        <x:is>
          <x:t xml:space="preserve">Crank options (mm)</x:t>
        </x:is>
      </x:c>
    </x:row>
    <x:row r="23">
      <x:c r="A23" s="3" t="inlineStr">
        <x:is>
          <x:t xml:space="preserve">Saddle_height_mm</x:t>
        </x:is>
      </x:c>
      <x:c r="B23" s="11">
        <x:f>B5*(B17)</x:f>
        <x:v>687.96</x:v>
      </x:c>
      <x:c r="C23" s="4" t="inlineStr">
        <x:is>
          <x:t xml:space="preserve">mm</x:t>
        </x:is>
      </x:c>
      <x:c r="F23" s="17" t="n">
        <x:v>165</x:v>
      </x:c>
      <x:c r="G23" s="15">
        <x:f>ABS(F23-$B$25)</x:f>
        <x:v>3.4799999999999898</x:v>
      </x:c>
    </x:row>
    <x:row r="24">
      <x:c r="A24" s="3" t="inlineStr">
        <x:is>
          <x:t xml:space="preserve">Crank_ideal_mm</x:t>
        </x:is>
      </x:c>
      <x:c r="B24" s="11">
        <x:f>B5*Assumptions!B35</x:f>
        <x:v>168.48</x:v>
      </x:c>
      <x:c r="C24" s="4" t="inlineStr">
        <x:is>
          <x:t xml:space="preserve">mm</x:t>
        </x:is>
      </x:c>
      <x:c r="F24" s="17" t="n">
        <x:v>167.5</x:v>
      </x:c>
      <x:c r="G24" s="15">
        <x:f>ABS(F24-$B$25)</x:f>
        <x:v>0.9799999999999898</x:v>
      </x:c>
    </x:row>
    <x:row r="25">
      <x:c r="A25" s="3" t="inlineStr">
        <x:is>
          <x:t xml:space="preserve">Crank_clamped_mm</x:t>
        </x:is>
      </x:c>
      <x:c r="B25" s="11">
        <x:f>MIN(MAX(B24,Assumptions!B36),Assumptions!B37)</x:f>
        <x:v>168.48</x:v>
      </x:c>
      <x:c r="C25" s="4" t="inlineStr">
        <x:is>
          <x:t xml:space="preserve">mm</x:t>
        </x:is>
      </x:c>
      <x:c r="F25" s="17" t="n">
        <x:v>170</x:v>
      </x:c>
      <x:c r="G25" s="15">
        <x:f>ABS(F25-$B$25)</x:f>
        <x:v>1.5200000000000102</x:v>
      </x:c>
    </x:row>
    <x:row r="26">
      <x:c r="A26" s="3" t="inlineStr">
        <x:is>
          <x:t xml:space="preserve">Crank_length_mm</x:t>
        </x:is>
      </x:c>
      <x:c r="B26" s="11" t="str">
        <x:f>G28</x:f>
        <x:v>167.5</x:v>
      </x:c>
      <x:c r="C26" s="4" t="inlineStr">
        <x:is>
          <x:t xml:space="preserve">mm</x:t>
        </x:is>
      </x:c>
      <x:c r="F26" s="17" t="n">
        <x:v>172.5</x:v>
      </x:c>
      <x:c r="G26" s="15">
        <x:f>ABS(F26-$B$25)</x:f>
        <x:v>4.02000000000001</x:v>
      </x:c>
    </x:row>
    <x:row r="27">
      <x:c r="A27" s="3" t="inlineStr">
        <x:is>
          <x:t xml:space="preserve">Saddle_setback_mm</x:t>
        </x:is>
      </x:c>
      <x:c r="B27" s="11">
        <x:f>B8*Assumptions!B22 - B26*Assumptions!B23 + B18</x:f>
        <x:v>57.425</x:v>
      </x:c>
      <x:c r="C27" s="4" t="inlineStr">
        <x:is>
          <x:t xml:space="preserve">mm</x:t>
        </x:is>
      </x:c>
      <x:c r="F27" s="17" t="n">
        <x:v>175</x:v>
      </x:c>
      <x:c r="G27" s="15">
        <x:f>ABS(F27-$B$25)</x:f>
        <x:v>6.52000000000001</x:v>
      </x:c>
    </x:row>
    <x:row r="28">
      <x:c r="A28" s="3" t="inlineStr">
        <x:is>
          <x:t xml:space="preserve">Flex_reach_adj_mm</x:t>
        </x:is>
      </x:c>
      <x:c r="B28" s="11">
        <x:f>Assumptions!B28*(B11-0.5)</x:f>
        <x:v>0</x:v>
      </x:c>
      <x:c r="C28" s="4" t="inlineStr">
        <x:is>
          <x:t xml:space="preserve">mm</x:t>
        </x:is>
      </x:c>
      <x:c r="F28" s="18" t="inlineStr">
        <x:is>
          <x:t xml:space="preserve">Best crank</x:t>
        </x:is>
      </x:c>
      <x:c r="G28" s="19" t="str">
        <x:f>INDEX(F23:F27,MATCH(MIN(G23:G27),G23:G27,0))</x:f>
        <x:v>167.5</x:v>
      </x:c>
    </x:row>
    <x:row r="29">
      <x:c r="A29" s="3" t="inlineStr">
        <x:is>
          <x:t xml:space="preserve">Saddle_to_bar_reach_mm</x:t>
        </x:is>
      </x:c>
      <x:c r="B29" s="11">
        <x:f>(B6+B7)*Assumptions!B25 + B4*Assumptions!B26 + Assumptions!B27 + B19 + B28</x:f>
        <x:v>380</x:v>
      </x:c>
      <x:c r="C29" s="4" t="inlineStr">
        <x:is>
          <x:t xml:space="preserve">mm</x:t>
        </x:is>
      </x:c>
    </x:row>
    <x:row r="30">
      <x:c r="A30" s="3" t="inlineStr">
        <x:is>
          <x:t xml:space="preserve">Saddle_to_bar_drop_mm</x:t>
        </x:is>
      </x:c>
      <x:c r="B30" s="11">
        <x:f>MIN(MAX(B4*(Assumptions!B30 + Assumptions!B31*B11) + Assumptions!B32 + B20,0),180)</x:f>
        <x:v>58.999999999999986</x:v>
      </x:c>
      <x:c r="C30" s="4" t="inlineStr">
        <x:is>
          <x:t xml:space="preserve">mm</x:t>
        </x:is>
      </x:c>
      <x:c r="F30" s="2" t="inlineStr">
        <x:is>
          <x:t xml:space="preserve">Geometry module (optional)</x:t>
        </x:is>
      </x:c>
    </x:row>
    <x:row r="31">
      <x:c r="F31" s="3" t="inlineStr">
        <x:is>
          <x:t xml:space="preserve">Frame reach (mm)</x:t>
        </x:is>
      </x:c>
      <x:c r="G31" s="17">
        <x:f>IF('Inputs'!G4="","",'Inputs'!G4)</x:f>
      </x:c>
    </x:row>
    <x:row r="32">
      <x:c r="A32" s="2" t="inlineStr">
        <x:is>
          <x:t xml:space="preserve">Handlebar width</x:t>
        </x:is>
      </x:c>
      <x:c r="F32" s="3" t="inlineStr">
        <x:is>
          <x:t xml:space="preserve">Frame stack (mm)</x:t>
        </x:is>
      </x:c>
      <x:c r="G32" s="17">
        <x:f>IF('Inputs'!G5="","",'Inputs'!G5)</x:f>
      </x:c>
    </x:row>
    <x:row r="33">
      <x:c r="A33" s="3" t="inlineStr">
        <x:is>
          <x:t xml:space="preserve">Bar_width_mm</x:t>
        </x:is>
      </x:c>
      <x:c r="B33" s="11">
        <x:f>IF(B13="MTB Trail",MIN(MAX(ROUND(B9*Assumptions!E25/Assumptions!E26,0)*Assumptions!E26,Assumptions!E27),Assumptions!E28),MIN(MAX(ROUND(B9/Assumptions!E22,0)*Assumptions!E22,Assumptions!E23),Assumptions!E24))</x:f>
        <x:v>400</x:v>
      </x:c>
      <x:c r="C33" s="4" t="inlineStr">
        <x:is>
          <x:t xml:space="preserve">mm</x:t>
        </x:is>
      </x:c>
      <x:c r="F33" s="3" t="inlineStr">
        <x:is>
          <x:t xml:space="preserve">Stem angle (deg)</x:t>
        </x:is>
      </x:c>
      <x:c r="G33" s="17">
        <x:f>IF('Inputs'!G6="","",'Inputs'!G6)</x:f>
        <x:v>6</x:v>
      </x:c>
    </x:row>
    <x:row r="34">
      <x:c r="F34" s="3" t="inlineStr">
        <x:is>
          <x:t xml:space="preserve">Bar reach (mm)</x:t>
        </x:is>
      </x:c>
      <x:c r="G34" s="17">
        <x:f>IF('Inputs'!G7="","",'Inputs'!G7)</x:f>
        <x:v>75</x:v>
      </x:c>
    </x:row>
    <x:row r="35">
      <x:c r="A35" s="2" t="inlineStr">
        <x:is>
          <x:t xml:space="preserve">Target coordinates (relative to BB) using setback defined as saddle nose behind BB</x:t>
        </x:is>
      </x:c>
      <x:c r="F35" s="3" t="inlineStr">
        <x:is>
          <x:t xml:space="preserve">Bar stack (mm)</x:t>
        </x:is>
      </x:c>
      <x:c r="G35" s="17">
        <x:f>IF('Inputs'!G8="","",'Inputs'!G8)</x:f>
        <x:v>40</x:v>
      </x:c>
    </x:row>
    <x:row r="36">
      <x:c r="A36" s="3" t="inlineStr">
        <x:is>
          <x:t xml:space="preserve">Saddle_nose_X_mm</x:t>
        </x:is>
      </x:c>
      <x:c r="B36" s="11">
        <x:f>-B27</x:f>
        <x:v>-57.425</x:v>
      </x:c>
      <x:c r="C36" s="4" t="inlineStr">
        <x:is>
          <x:t xml:space="preserve">mm (behind negative)</x:t>
        </x:is>
      </x:c>
    </x:row>
    <x:row r="37">
      <x:c r="A37" s="3" t="inlineStr">
        <x:is>
          <x:t xml:space="preserve">Saddle_Y_mm</x:t>
        </x:is>
      </x:c>
      <x:c r="B37" s="11">
        <x:f>B23</x:f>
        <x:v>687.96</x:v>
      </x:c>
      <x:c r="C37" s="4" t="inlineStr">
        <x:is>
          <x:t xml:space="preserve">mm</x:t>
        </x:is>
      </x:c>
      <x:c r="F37" s="3" t="inlineStr">
        <x:is>
          <x:t xml:space="preserve">Required stem length (mm)</x:t>
        </x:is>
      </x:c>
      <x:c r="G37" s="19">
        <x:f>IF(G31="","",(B38 - G31 - G34)/COS(RADIANS(G33)))</x:f>
      </x:c>
    </x:row>
    <x:row r="38">
      <x:c r="A38" s="3" t="inlineStr">
        <x:is>
          <x:t xml:space="preserve">Target_bar_X_mm</x:t>
        </x:is>
      </x:c>
      <x:c r="B38" s="11">
        <x:f>B36 + B29</x:f>
        <x:v>322.575</x:v>
      </x:c>
      <x:c r="C38" s="4" t="inlineStr">
        <x:is>
          <x:t xml:space="preserve">mm</x:t>
        </x:is>
      </x:c>
      <x:c r="F38" s="3" t="inlineStr">
        <x:is>
          <x:t xml:space="preserve">Required spacers (mm)</x:t>
        </x:is>
      </x:c>
      <x:c r="G38" s="19">
        <x:f>IF(G32="","",B39 - G32 - (G37*SIN(RADIANS(G33))) - G35)</x:f>
      </x:c>
    </x:row>
    <x:row r="39">
      <x:c r="A39" s="3" t="inlineStr">
        <x:is>
          <x:t xml:space="preserve">Target_bar_Y_mm</x:t>
        </x:is>
      </x:c>
      <x:c r="B39" s="11">
        <x:f>B37 - B30</x:f>
        <x:v>628.96</x:v>
      </x:c>
      <x:c r="C39" s="4" t="inlineStr">
        <x:is>
          <x:t xml:space="preserve">mm</x:t>
        </x:is>
      </x:c>
      <x:c r="F39" s="3" t="inlineStr">
        <x:is>
          <x:t xml:space="preserve">Resulting checks</x:t>
        </x:is>
      </x:c>
      <x:c r="G39" s="20" t="str">
        <x:f>IF(OR(G37="",G38=""),"Provide frame reach/stack to compute",IF(G38&lt;0,"Target too low for given frame/stem angle",IF(G38&gt;50,"Needs lots of spacers (consider higher stack frame)","Within typical spacer range")))</x:f>
        <x:v>Provide frame reach/stack to compute</x:v>
      </x:c>
    </x:row>
  </x:sheetData>
  <x:mergeCells>
    <x:mergeCell ref="A1:D1"/>
    <x:mergeCell ref="F30:G30"/>
    <x:mergeCell ref="A22:D22"/>
    <x:mergeCell ref="A35:D35"/>
    <x:mergeCell ref="A3:D3"/>
    <x:mergeCell ref="A15:D15"/>
    <x:mergeCell ref="F22:G22"/>
    <x:mergeCell ref="A32:D3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34" customWidth="1"/>
    <x:col min="8" max="8" width="18" customWidth="1"/>
    <x:col min="9" max="9" width="18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 ht="28" customHeight="1">
      <x:c r="A1" s="1" t="inlineStr">
        <x:is>
          <x:t xml:space="preserve">Validation – sanity checks &amp; unit tests</x:t>
        </x:is>
      </x:c>
    </x:row>
    <x:row r="3">
      <x:c r="A3" s="2" t="inlineStr">
        <x:is>
          <x:t xml:space="preserve">Sanity checks (based on current Inputs sheet)</x:t>
        </x:is>
      </x:c>
    </x:row>
    <x:row r="4" ht="22" customHeight="1">
      <x:c r="A4" s="10" t="inlineStr">
        <x:is>
          <x:t xml:space="preserve">Metric</x:t>
        </x:is>
      </x:c>
      <x:c r="B4" s="10" t="inlineStr">
        <x:is>
          <x:t xml:space="preserve">Value</x:t>
        </x:is>
      </x:c>
      <x:c r="C4" s="10" t="inlineStr">
        <x:is>
          <x:t xml:space="preserve">Min</x:t>
        </x:is>
      </x:c>
      <x:c r="D4" s="10" t="inlineStr">
        <x:is>
          <x:t xml:space="preserve">Max</x:t>
        </x:is>
      </x:c>
      <x:c r="E4" s="10" t="inlineStr">
        <x:is>
          <x:t xml:space="preserve">Pass?</x:t>
        </x:is>
      </x:c>
    </x:row>
    <x:row r="5">
      <x:c r="A5" s="3" t="inlineStr">
        <x:is>
          <x:t xml:space="preserve">Saddle height ratio (saddle_height / inseam)</x:t>
        </x:is>
      </x:c>
      <x:c r="B5" s="25">
        <x:f>Engine!B23/Engine!B5</x:f>
        <x:v>0.882</x:v>
      </x:c>
      <x:c r="C5" s="25" t="n">
        <x:v>0.87</x:v>
      </x:c>
      <x:c r="D5" s="25" t="n">
        <x:v>0.9</x:v>
      </x:c>
      <x:c r="E5" s="12" t="str">
        <x:f>IF(AND(B5&gt;=C5,B5&lt;=D5),"PASS","CHECK")</x:f>
        <x:v>PASS</x:v>
      </x:c>
    </x:row>
    <x:row r="6">
      <x:c r="A6" s="3" t="inlineStr">
        <x:is>
          <x:t xml:space="preserve">Saddle setback (mm)</x:t>
        </x:is>
      </x:c>
      <x:c r="B6" s="11">
        <x:f>Engine!B27</x:f>
        <x:v>57.425</x:v>
      </x:c>
      <x:c r="C6" s="11" t="n">
        <x:v>20</x:v>
      </x:c>
      <x:c r="D6" s="11" t="n">
        <x:v>90</x:v>
      </x:c>
      <x:c r="E6" s="12" t="str">
        <x:f>IF(AND(B6&gt;=C6,B6&lt;=D6),"PASS","CHECK")</x:f>
        <x:v>PASS</x:v>
      </x:c>
    </x:row>
    <x:row r="7">
      <x:c r="A7" s="3" t="inlineStr">
        <x:is>
          <x:t xml:space="preserve">Saddle-to-bar reach (mm)</x:t>
        </x:is>
      </x:c>
      <x:c r="B7" s="11">
        <x:f>Engine!B29</x:f>
        <x:v>380</x:v>
      </x:c>
      <x:c r="C7" s="11" t="n">
        <x:v>350</x:v>
      </x:c>
      <x:c r="D7" s="11" t="n">
        <x:v>650</x:v>
      </x:c>
      <x:c r="E7" s="12" t="str">
        <x:f>IF(AND(B7&gt;=C7,B7&lt;=D7),"PASS","CHECK")</x:f>
        <x:v>PASS</x:v>
      </x:c>
    </x:row>
    <x:row r="8">
      <x:c r="A8" s="3" t="inlineStr">
        <x:is>
          <x:t xml:space="preserve">Saddle-to-bar drop (mm)</x:t>
        </x:is>
      </x:c>
      <x:c r="B8" s="11">
        <x:f>Engine!B30</x:f>
        <x:v>58.999999999999986</x:v>
      </x:c>
      <x:c r="C8" s="11" t="n">
        <x:v>0</x:v>
      </x:c>
      <x:c r="D8" s="11" t="n">
        <x:v>180</x:v>
      </x:c>
      <x:c r="E8" s="12" t="str">
        <x:f>IF(AND(B8&gt;=C8,B8&lt;=D8),"PASS","CHECK")</x:f>
        <x:v>PASS</x:v>
      </x:c>
    </x:row>
    <x:row r="9">
      <x:c r="A9" s="3" t="inlineStr">
        <x:is>
          <x:t xml:space="preserve">Bar width (mm)</x:t>
        </x:is>
      </x:c>
      <x:c r="B9" s="11">
        <x:f>Engine!B33</x:f>
        <x:v>400</x:v>
      </x:c>
      <x:c r="C9" s="11" t="n">
        <x:v>360</x:v>
      </x:c>
      <x:c r="D9" s="11" t="n">
        <x:v>820</x:v>
      </x:c>
      <x:c r="E9" s="12" t="str">
        <x:f>IF(AND(B9&gt;=C9,B9&lt;=D9),"PASS","CHECK")</x:f>
        <x:v>PASS</x:v>
      </x:c>
    </x:row>
    <x:row r="12">
      <x:c r="A12" s="2" t="inlineStr">
        <x:is>
          <x:t xml:space="preserve">Unit tests (edit the test inputs in columns B–D; outputs in E–I)</x:t>
        </x:is>
      </x:c>
    </x:row>
    <x:row r="13" ht="22" customHeight="1">
      <x:c r="A13" s="10" t="inlineStr">
        <x:is>
          <x:t xml:space="preserve">Test case</x:t>
        </x:is>
      </x:c>
      <x:c r="B13" s="10" t="inlineStr">
        <x:is>
          <x:t xml:space="preserve">Height_cm</x:t>
        </x:is>
      </x:c>
      <x:c r="C13" s="10" t="inlineStr">
        <x:is>
          <x:t xml:space="preserve">Inseam_cm</x:t>
        </x:is>
      </x:c>
      <x:c r="D13" s="10" t="inlineStr">
        <x:is>
          <x:t xml:space="preserve">Style</x:t>
        </x:is>
      </x:c>
      <x:c r="E13" s="10" t="inlineStr">
        <x:is>
          <x:t xml:space="preserve">Expected crank</x:t>
        </x:is>
      </x:c>
      <x:c r="F13" s="10" t="inlineStr">
        <x:is>
          <x:t xml:space="preserve">Calc crank</x:t>
        </x:is>
      </x:c>
      <x:c r="G13" s="10" t="inlineStr">
        <x:is>
          <x:t xml:space="preserve">Pass?</x:t>
        </x:is>
      </x:c>
      <x:c r="H13" s="10" t="inlineStr">
        <x:is>
          <x:t xml:space="preserve">Comment</x:t>
        </x:is>
      </x:c>
      <x:c r="J13" t="inlineStr">
        <x:is>
          <x:t xml:space="preserve">Inseam_mm</x:t>
        </x:is>
      </x:c>
      <x:c r="K13" t="inlineStr">
        <x:is>
          <x:t xml:space="preserve">Ideal</x:t>
        </x:is>
      </x:c>
      <x:c r="L13" t="inlineStr">
        <x:is>
          <x:t xml:space="preserve">Clamp</x:t>
        </x:is>
      </x:c>
      <x:c r="M13" t="inlineStr">
        <x:is>
          <x:t xml:space="preserve">d165</x:t>
        </x:is>
      </x:c>
      <x:c r="N13" t="inlineStr">
        <x:is>
          <x:t xml:space="preserve">d167.5</x:t>
        </x:is>
      </x:c>
      <x:c r="O13" t="inlineStr">
        <x:is>
          <x:t xml:space="preserve">d170</x:t>
        </x:is>
      </x:c>
      <x:c r="P13" t="inlineStr">
        <x:is>
          <x:t xml:space="preserve">d172.5</x:t>
        </x:is>
      </x:c>
      <x:c r="Q13" t="inlineStr">
        <x:is>
          <x:t xml:space="preserve">d175</x:t>
        </x:is>
      </x:c>
      <x:c r="R13" t="inlineStr">
        <x:is>
          <x:t xml:space="preserve">MinDiff</x:t>
        </x:is>
      </x:c>
      <x:c r="S13" t="inlineStr">
        <x:is>
          <x:t xml:space="preserve">Chosen</x:t>
        </x:is>
      </x:c>
    </x:row>
    <x:row r="14">
      <x:c r="A14" s="3" t="inlineStr">
        <x:is>
          <x:t xml:space="preserve">Short inseam clamp low</x:t>
        </x:is>
      </x:c>
      <x:c r="B14" s="15" t="n">
        <x:v>170</x:v>
      </x:c>
      <x:c r="C14" s="15" t="n">
        <x:v>68</x:v>
      </x:c>
      <x:c r="D14" s="3" t="inlineStr">
        <x:is>
          <x:t xml:space="preserve">Road Endurance</x:t>
        </x:is>
      </x:c>
      <x:c r="E14" s="15" t="n">
        <x:v>165</x:v>
      </x:c>
      <x:c r="F14" s="15">
        <x:f>S14</x:f>
        <x:v>165</x:v>
      </x:c>
      <x:c r="G14" s="12" t="str">
        <x:f>IF(F14=E14,"PASS","CHECK")</x:f>
        <x:v>PASS</x:v>
      </x:c>
      <x:c r="H14" s="3">
        <x:f>IF(G14="PASS","", "If this fails, check rounding/clamp logic")</x:f>
      </x:c>
      <x:c r="I14" s="21" t="n"/>
      <x:c r="J14" s="21">
        <x:f>C14*Assumptions!B4</x:f>
        <x:v>680</x:v>
      </x:c>
      <x:c r="K14" s="21">
        <x:f>J14*Assumptions!B35</x:f>
        <x:v>146.88</x:v>
      </x:c>
      <x:c r="L14" s="21">
        <x:f>MIN(MAX(K14,Assumptions!B36),Assumptions!B37)</x:f>
        <x:v>165</x:v>
      </x:c>
      <x:c r="M14" s="21">
        <x:f>ABS(165-L14)</x:f>
        <x:v>0</x:v>
      </x:c>
      <x:c r="N14" s="21">
        <x:f>ABS(167.5-L14)</x:f>
        <x:v>2.5</x:v>
      </x:c>
      <x:c r="O14" s="21">
        <x:f>ABS(170-L14)</x:f>
        <x:v>5</x:v>
      </x:c>
      <x:c r="P14">
        <x:f>ABS(172.5-L14)</x:f>
        <x:v>7.5</x:v>
      </x:c>
      <x:c r="Q14">
        <x:f>ABS(175-L14)</x:f>
        <x:v>10</x:v>
      </x:c>
      <x:c r="R14">
        <x:f>MIN(M14,N14,O14,P14,Q14)</x:f>
        <x:v>0</x:v>
      </x:c>
      <x:c r="S14">
        <x:f>IF(R14=M14,165,IF(R14=N14,167.5,IF(R14=O14,170,IF(R14=P14,172.5,175))))</x:f>
        <x:v>165</x:v>
      </x:c>
    </x:row>
    <x:row r="15">
      <x:c r="A15" s="3" t="inlineStr">
        <x:is>
          <x:t xml:space="preserve">Average inseam</x:t>
        </x:is>
      </x:c>
      <x:c r="B15" s="15" t="n">
        <x:v>175</x:v>
      </x:c>
      <x:c r="C15" s="15" t="n">
        <x:v>80</x:v>
      </x:c>
      <x:c r="D15" s="3" t="inlineStr">
        <x:is>
          <x:t xml:space="preserve">Road Race</x:t>
        </x:is>
      </x:c>
      <x:c r="E15" s="15" t="n">
        <x:v>172.5</x:v>
      </x:c>
      <x:c r="F15" s="15">
        <x:f>S15</x:f>
        <x:v>172.5</x:v>
      </x:c>
      <x:c r="G15" s="12" t="str">
        <x:f>IF(F15=E15,"PASS","CHECK")</x:f>
        <x:v>PASS</x:v>
      </x:c>
      <x:c r="H15" s="3">
        <x:f>IF(G15="PASS","", "If this fails, check rounding/clamp logic")</x:f>
      </x:c>
      <x:c r="I15" s="21" t="n"/>
      <x:c r="J15" s="21">
        <x:f>C15*Assumptions!B4</x:f>
        <x:v>800</x:v>
      </x:c>
      <x:c r="K15" s="21">
        <x:f>J15*Assumptions!B35</x:f>
        <x:v>172.8</x:v>
      </x:c>
      <x:c r="L15" s="21">
        <x:f>MIN(MAX(K15,Assumptions!B36),Assumptions!B37)</x:f>
        <x:v>172.8</x:v>
      </x:c>
      <x:c r="M15" s="21">
        <x:f>ABS(165-L15)</x:f>
        <x:v>7.800000000000011</x:v>
      </x:c>
      <x:c r="N15" s="21">
        <x:f>ABS(167.5-L15)</x:f>
        <x:v>5.300000000000011</x:v>
      </x:c>
      <x:c r="O15" s="21">
        <x:f>ABS(170-L15)</x:f>
        <x:v>2.8000000000000114</x:v>
      </x:c>
      <x:c r="P15">
        <x:f>ABS(172.5-L15)</x:f>
        <x:v>0.30000000000001137</x:v>
      </x:c>
      <x:c r="Q15">
        <x:f>ABS(175-L15)</x:f>
        <x:v>2.1999999999999886</x:v>
      </x:c>
      <x:c r="R15">
        <x:f>MIN(M15,N15,O15,P15,Q15)</x:f>
        <x:v>0.30000000000001137</x:v>
      </x:c>
      <x:c r="S15">
        <x:f>IF(R15=M15,165,IF(R15=N15,167.5,IF(R15=O15,170,IF(R15=P15,172.5,175))))</x:f>
        <x:v>172.5</x:v>
      </x:c>
    </x:row>
    <x:row r="16">
      <x:c r="A16" s="3" t="inlineStr">
        <x:is>
          <x:t xml:space="preserve">Long inseam clamp high</x:t>
        </x:is>
      </x:c>
      <x:c r="B16" s="15" t="n">
        <x:v>190</x:v>
      </x:c>
      <x:c r="C16" s="15" t="n">
        <x:v>92</x:v>
      </x:c>
      <x:c r="D16" s="3" t="inlineStr">
        <x:is>
          <x:t xml:space="preserve">Time Trial/TT</x:t>
        </x:is>
      </x:c>
      <x:c r="E16" s="15" t="n">
        <x:v>175</x:v>
      </x:c>
      <x:c r="F16" s="15">
        <x:f>S16</x:f>
        <x:v>175</x:v>
      </x:c>
      <x:c r="G16" s="12" t="str">
        <x:f>IF(F16=E16,"PASS","CHECK")</x:f>
        <x:v>PASS</x:v>
      </x:c>
      <x:c r="H16" s="3">
        <x:f>IF(G16="PASS","", "If this fails, check rounding/clamp logic")</x:f>
      </x:c>
      <x:c r="I16" s="21" t="n"/>
      <x:c r="J16" s="21">
        <x:f>C16*Assumptions!B4</x:f>
        <x:v>920</x:v>
      </x:c>
      <x:c r="K16" s="21">
        <x:f>J16*Assumptions!B35</x:f>
        <x:v>198.72</x:v>
      </x:c>
      <x:c r="L16" s="21">
        <x:f>MIN(MAX(K16,Assumptions!B36),Assumptions!B37)</x:f>
        <x:v>175</x:v>
      </x:c>
      <x:c r="M16" s="21">
        <x:f>ABS(165-L16)</x:f>
        <x:v>10</x:v>
      </x:c>
      <x:c r="N16" s="21">
        <x:f>ABS(167.5-L16)</x:f>
        <x:v>7.5</x:v>
      </x:c>
      <x:c r="O16" s="21">
        <x:f>ABS(170-L16)</x:f>
        <x:v>5</x:v>
      </x:c>
      <x:c r="P16">
        <x:f>ABS(172.5-L16)</x:f>
        <x:v>2.5</x:v>
      </x:c>
      <x:c r="Q16">
        <x:f>ABS(175-L16)</x:f>
        <x:v>0</x:v>
      </x:c>
      <x:c r="R16">
        <x:f>MIN(M16,N16,O16,P16,Q16)</x:f>
        <x:v>0</x:v>
      </x:c>
      <x:c r="S16">
        <x:f>IF(R16=M16,165,IF(R16=N16,167.5,IF(R16=O16,170,IF(R16=P16,172.5,175))))</x:f>
        <x:v>175</x:v>
      </x:c>
    </x:row>
    <x:row r="17">
      <x:c r="A17" s="3" t="inlineStr">
        <x:is>
          <x:t xml:space="preserve">MTB example</x:t>
        </x:is>
      </x:c>
      <x:c r="B17" s="15" t="n">
        <x:v>178</x:v>
      </x:c>
      <x:c r="C17" s="15" t="n">
        <x:v>83</x:v>
      </x:c>
      <x:c r="D17" s="3" t="inlineStr">
        <x:is>
          <x:t xml:space="preserve">MTB Trail</x:t>
        </x:is>
      </x:c>
      <x:c r="E17" s="15" t="n">
        <x:v>175</x:v>
      </x:c>
      <x:c r="F17" s="15">
        <x:f>S17</x:f>
        <x:v>175</x:v>
      </x:c>
      <x:c r="G17" s="12" t="str">
        <x:f>IF(F17=E17,"PASS","CHECK")</x:f>
        <x:v>PASS</x:v>
      </x:c>
      <x:c r="H17" s="3">
        <x:f>IF(G17="PASS","", "If this fails, check rounding/clamp logic")</x:f>
      </x:c>
      <x:c r="I17" s="21" t="n"/>
      <x:c r="J17" s="21">
        <x:f>C17*Assumptions!B4</x:f>
        <x:v>830</x:v>
      </x:c>
      <x:c r="K17" s="21">
        <x:f>J17*Assumptions!B35</x:f>
        <x:v>179.28</x:v>
      </x:c>
      <x:c r="L17" s="21">
        <x:f>MIN(MAX(K17,Assumptions!B36),Assumptions!B37)</x:f>
        <x:v>175</x:v>
      </x:c>
      <x:c r="M17" s="21">
        <x:f>ABS(165-L17)</x:f>
        <x:v>10</x:v>
      </x:c>
      <x:c r="N17" s="21">
        <x:f>ABS(167.5-L17)</x:f>
        <x:v>7.5</x:v>
      </x:c>
      <x:c r="O17" s="21">
        <x:f>ABS(170-L17)</x:f>
        <x:v>5</x:v>
      </x:c>
      <x:c r="P17">
        <x:f>ABS(172.5-L17)</x:f>
        <x:v>2.5</x:v>
      </x:c>
      <x:c r="Q17">
        <x:f>ABS(175-L17)</x:f>
        <x:v>0</x:v>
      </x:c>
      <x:c r="R17">
        <x:f>MIN(M17,N17,O17,P17,Q17)</x:f>
        <x:v>0</x:v>
      </x:c>
      <x:c r="S17">
        <x:f>IF(R17=M17,165,IF(R17=N17,167.5,IF(R17=O17,170,IF(R17=P17,172.5,175))))</x:f>
        <x:v>175</x:v>
      </x:c>
    </x:row>
    <x:row r="18">
      <x:c r="A18" s="21" t="n"/>
      <x:c r="B18" s="21" t="n"/>
      <x:c r="C18" s="21" t="n"/>
      <x:c r="D18" s="21" t="n"/>
      <x:c r="E18" s="21" t="n"/>
      <x:c r="F18" s="21" t="n"/>
      <x:c r="G18" s="21" t="n"/>
      <x:c r="H18" s="21" t="n"/>
      <x:c r="I18" s="21" t="n"/>
      <x:c r="J18" s="21" t="n"/>
      <x:c r="K18" s="21" t="n"/>
      <x:c r="L18" s="21" t="n"/>
      <x:c r="M18" s="21" t="n"/>
      <x:c r="N18" s="21" t="n"/>
      <x:c r="O18" s="21" t="n"/>
    </x:row>
    <x:row r="19">
      <x:c r="A19" s="21" t="n"/>
      <x:c r="B19" s="21" t="n"/>
      <x:c r="C19" s="21" t="n"/>
      <x:c r="D19" s="21" t="n"/>
      <x:c r="E19" s="21" t="n"/>
      <x:c r="F19" s="21" t="n"/>
      <x:c r="G19" s="21" t="n"/>
      <x:c r="H19" s="21" t="n"/>
      <x:c r="I19" s="21" t="n"/>
      <x:c r="J19" s="21" t="n"/>
      <x:c r="K19" s="21" t="n"/>
      <x:c r="L19" s="21" t="n"/>
      <x:c r="M19" s="21" t="n"/>
      <x:c r="N19" s="21" t="n"/>
      <x:c r="O19" s="21" t="n"/>
    </x:row>
    <x:row r="20">
      <x:c r="A20" s="2" t="inlineStr">
        <x:is>
          <x:t xml:space="preserve">Style response tests (same body; compare outputs by style)</x:t>
        </x:is>
      </x:c>
    </x:row>
    <x:row r="21" ht="22" customHeight="1">
      <x:c r="A21" s="10" t="inlineStr">
        <x:is>
          <x:t xml:space="preserve">Style</x:t>
        </x:is>
      </x:c>
      <x:c r="B21" s="10" t="inlineStr">
        <x:is>
          <x:t xml:space="preserve">Saddle height (mm)</x:t>
        </x:is>
      </x:c>
      <x:c r="C21" s="10" t="inlineStr">
        <x:is>
          <x:t xml:space="preserve">Setback (mm)</x:t>
        </x:is>
      </x:c>
      <x:c r="D21" s="10" t="inlineStr">
        <x:is>
          <x:t xml:space="preserve">Reach (mm)</x:t>
        </x:is>
      </x:c>
      <x:c r="E21" s="10" t="inlineStr">
        <x:is>
          <x:t xml:space="preserve">Drop (mm)</x:t>
        </x:is>
      </x:c>
      <x:c r="F21" s="10" t="inlineStr">
        <x:is>
          <x:t xml:space="preserve">Bar width (mm)</x:t>
        </x:is>
      </x:c>
      <x:c r="G21" s="10" t="inlineStr">
        <x:is>
          <x:t xml:space="preserve">Expected trend?</x:t>
        </x:is>
      </x:c>
      <x:c r="H21" s="10" t="inlineStr">
        <x:is>
          <x:t xml:space="preserve">Pass?</x:t>
        </x:is>
      </x:c>
    </x:row>
    <x:row r="22" ht="28" customHeight="1">
      <x:c r="A22" s="3" t="inlineStr">
        <x:is>
          <x:t xml:space="preserve">MTB Trail</x:t>
        </x:is>
      </x:c>
      <x:c r="B22" s="11">
        <x:f>Engine!B5*(Assumptions!B16 + INDEX(Assumptions!C16:F16,1,IF(A22="MTB Trail",1,IF(A22="Road Endurance",2,IF(A22="Road Race",3,4)))))</x:f>
        <x:v>686.4</x:v>
      </x:c>
      <x:c r="C22" s="11">
        <x:f>Engine!B8*Assumptions!B22 - Engine!B26*Assumptions!B23 + (Assumptions!B17 + INDEX(Assumptions!C17:F17,1,IF(A22="MTB Trail",1,IF(A22="Road Endurance",2,IF(A22="Road Race",3,4)))))</x:f>
        <x:v>42.425</x:v>
      </x:c>
      <x:c r="D22" s="11">
        <x:f>(Engine!B6+Engine!B7)*Assumptions!B25 + Engine!B4*Assumptions!B26 + Assumptions!B27 + (Assumptions!B18 + INDEX(Assumptions!C18:F18,1,IF(A22="MTB Trail",1,IF(A22="Road Endurance",2,IF(A22="Road Race",3,4))))) + (Assumptions!B28*(Engine!B11-0.5))</x:f>
        <x:v>365</x:v>
      </x:c>
      <x:c r="E22" s="11">
        <x:f>MIN(MAX(Engine!B4*(Assumptions!B30+Assumptions!B31*Engine!B11)+Assumptions!B32 + (Assumptions!B19 + INDEX(Assumptions!C19:F19,1,IF(A22="MTB Trail",1,IF(A22="Road Endurance",2,IF(A22="Road Race",3,4))))),0),180)</x:f>
        <x:v>18.999999999999986</x:v>
      </x:c>
      <x:c r="F22" s="11">
        <x:f>IF(A22="MTB Trail",MIN(MAX(ROUND(Engine!B9*Assumptions!E25/Assumptions!E26,0)*Assumptions!E26,Assumptions!E27),Assumptions!E28),MIN(MAX(ROUND(Engine!B9/Assumptions!E22,0)*Assumptions!E22,Assumptions!E23),Assumptions!E24))</x:f>
        <x:v>720</x:v>
      </x:c>
      <x:c r="G22" s="26" t="inlineStr">
        <x:is>
          <x:t xml:space="preserve">MTB has lower drop &amp; shorter reach; TT has highest drop &amp; longest reach</x:t>
        </x:is>
      </x:c>
      <x:c r="H22" s="12" t="str">
        <x:f>IF(AND($E$22&lt;$E$23,$E$23&lt;$E$24,$E$24&lt;$E$25,$D$22&lt;$D$23,$D$23&lt;$D$24,$D$24&lt;$D$25),"PASS","CHECK")</x:f>
        <x:v>PASS</x:v>
      </x:c>
    </x:row>
    <x:row r="23" ht="28" customHeight="1">
      <x:c r="A23" s="3" t="inlineStr">
        <x:is>
          <x:t xml:space="preserve">Road Endurance</x:t>
        </x:is>
      </x:c>
      <x:c r="B23" s="11">
        <x:f>Engine!B5*(Assumptions!B16 + INDEX(Assumptions!C16:F16,1,IF(A23="MTB Trail",1,IF(A23="Road Endurance",2,IF(A23="Road Race",3,4)))))</x:f>
        <x:v>687.96</x:v>
      </x:c>
      <x:c r="C23" s="11">
        <x:f>Engine!B8*Assumptions!B22 - Engine!B26*Assumptions!B23 + (Assumptions!B17 + INDEX(Assumptions!C17:F17,1,IF(A23="MTB Trail",1,IF(A23="Road Endurance",2,IF(A23="Road Race",3,4)))))</x:f>
        <x:v>57.425</x:v>
      </x:c>
      <x:c r="D23" s="11">
        <x:f>(Engine!B6+Engine!B7)*Assumptions!B25 + Engine!B4*Assumptions!B26 + Assumptions!B27 + (Assumptions!B18 + INDEX(Assumptions!C18:F18,1,IF(A23="MTB Trail",1,IF(A23="Road Endurance",2,IF(A23="Road Race",3,4))))) + (Assumptions!B28*(Engine!B11-0.5))</x:f>
        <x:v>380</x:v>
      </x:c>
      <x:c r="E23" s="11">
        <x:f>MIN(MAX(Engine!B4*(Assumptions!B30+Assumptions!B31*Engine!B11)+Assumptions!B32 + (Assumptions!B19 + INDEX(Assumptions!C19:F19,1,IF(A23="MTB Trail",1,IF(A23="Road Endurance",2,IF(A23="Road Race",3,4))))),0),180)</x:f>
        <x:v>58.999999999999986</x:v>
      </x:c>
      <x:c r="F23" s="11">
        <x:f>IF(A23="MTB Trail",MIN(MAX(ROUND(Engine!B9*Assumptions!E25/Assumptions!E26,0)*Assumptions!E26,Assumptions!E27),Assumptions!E28),MIN(MAX(ROUND(Engine!B9/Assumptions!E22,0)*Assumptions!E22,Assumptions!E23),Assumptions!E24))</x:f>
        <x:v>400</x:v>
      </x:c>
      <x:c r="G23" s="26" t="inlineStr">
        <x:is>
          <x:t xml:space="preserve">MTB has lower drop &amp; shorter reach; TT has highest drop &amp; longest reach</x:t>
        </x:is>
      </x:c>
      <x:c r="H23" s="12" t="str">
        <x:f>IF(AND($E$22&lt;$E$23,$E$23&lt;$E$24,$E$24&lt;$E$25,$D$22&lt;$D$23,$D$23&lt;$D$24,$D$24&lt;$D$25),"PASS","CHECK")</x:f>
        <x:v>PASS</x:v>
      </x:c>
    </x:row>
    <x:row r="24" ht="28" customHeight="1">
      <x:c r="A24" s="3" t="inlineStr">
        <x:is>
          <x:t xml:space="preserve">Road Race</x:t>
        </x:is>
      </x:c>
      <x:c r="B24" s="11">
        <x:f>Engine!B5*(Assumptions!B16 + INDEX(Assumptions!C16:F16,1,IF(A24="MTB Trail",1,IF(A24="Road Endurance",2,IF(A24="Road Race",3,4)))))</x:f>
        <x:v>688.74</x:v>
      </x:c>
      <x:c r="C24" s="11">
        <x:f>Engine!B8*Assumptions!B22 - Engine!B26*Assumptions!B23 + (Assumptions!B17 + INDEX(Assumptions!C17:F17,1,IF(A24="MTB Trail",1,IF(A24="Road Endurance",2,IF(A24="Road Race",3,4)))))</x:f>
        <x:v>52.425</x:v>
      </x:c>
      <x:c r="D24" s="11">
        <x:f>(Engine!B6+Engine!B7)*Assumptions!B25 + Engine!B4*Assumptions!B26 + Assumptions!B27 + (Assumptions!B18 + INDEX(Assumptions!C18:F18,1,IF(A24="MTB Trail",1,IF(A24="Road Endurance",2,IF(A24="Road Race",3,4))))) + (Assumptions!B28*(Engine!B11-0.5))</x:f>
        <x:v>410</x:v>
      </x:c>
      <x:c r="E24" s="11">
        <x:f>MIN(MAX(Engine!B4*(Assumptions!B30+Assumptions!B31*Engine!B11)+Assumptions!B32 + (Assumptions!B19 + INDEX(Assumptions!C19:F19,1,IF(A24="MTB Trail",1,IF(A24="Road Endurance",2,IF(A24="Road Race",3,4))))),0),180)</x:f>
        <x:v>88.99999999999999</x:v>
      </x:c>
      <x:c r="F24" s="11">
        <x:f>IF(A24="MTB Trail",MIN(MAX(ROUND(Engine!B9*Assumptions!E25/Assumptions!E26,0)*Assumptions!E26,Assumptions!E27),Assumptions!E28),MIN(MAX(ROUND(Engine!B9/Assumptions!E22,0)*Assumptions!E22,Assumptions!E23),Assumptions!E24))</x:f>
        <x:v>400</x:v>
      </x:c>
      <x:c r="G24" s="26" t="inlineStr">
        <x:is>
          <x:t xml:space="preserve">MTB has lower drop &amp; shorter reach; TT has highest drop &amp; longest reach</x:t>
        </x:is>
      </x:c>
      <x:c r="H24" s="12" t="str">
        <x:f>IF(AND($E$22&lt;$E$23,$E$23&lt;$E$24,$E$24&lt;$E$25,$D$22&lt;$D$23,$D$23&lt;$D$24,$D$24&lt;$D$25),"PASS","CHECK")</x:f>
        <x:v>PASS</x:v>
      </x:c>
    </x:row>
    <x:row r="25" ht="28" customHeight="1">
      <x:c r="A25" s="3" t="inlineStr">
        <x:is>
          <x:t xml:space="preserve">Time Trial/TT</x:t>
        </x:is>
      </x:c>
      <x:c r="B25" s="11">
        <x:f>Engine!B5*(Assumptions!B16 + INDEX(Assumptions!C16:F16,1,IF(A25="MTB Trail",1,IF(A25="Road Endurance",2,IF(A25="Road Race",3,4)))))</x:f>
        <x:v>690.3</x:v>
      </x:c>
      <x:c r="C25" s="11">
        <x:f>Engine!B8*Assumptions!B22 - Engine!B26*Assumptions!B23 + (Assumptions!B17 + INDEX(Assumptions!C17:F17,1,IF(A25="MTB Trail",1,IF(A25="Road Endurance",2,IF(A25="Road Race",3,4)))))</x:f>
        <x:v>37.425</x:v>
      </x:c>
      <x:c r="D25" s="11">
        <x:f>(Engine!B6+Engine!B7)*Assumptions!B25 + Engine!B4*Assumptions!B26 + Assumptions!B27 + (Assumptions!B18 + INDEX(Assumptions!C18:F18,1,IF(A25="MTB Trail",1,IF(A25="Road Endurance",2,IF(A25="Road Race",3,4))))) + (Assumptions!B28*(Engine!B11-0.5))</x:f>
        <x:v>440</x:v>
      </x:c>
      <x:c r="E25" s="11">
        <x:f>MIN(MAX(Engine!B4*(Assumptions!B30+Assumptions!B31*Engine!B11)+Assumptions!B32 + (Assumptions!B19 + INDEX(Assumptions!C19:F19,1,IF(A25="MTB Trail",1,IF(A25="Road Endurance",2,IF(A25="Road Race",3,4))))),0),180)</x:f>
        <x:v>129</x:v>
      </x:c>
      <x:c r="F25" s="11">
        <x:f>IF(A25="MTB Trail",MIN(MAX(ROUND(Engine!B9*Assumptions!E25/Assumptions!E26,0)*Assumptions!E26,Assumptions!E27),Assumptions!E28),MIN(MAX(ROUND(Engine!B9/Assumptions!E22,0)*Assumptions!E22,Assumptions!E23),Assumptions!E24))</x:f>
        <x:v>400</x:v>
      </x:c>
      <x:c r="G25" s="26" t="inlineStr">
        <x:is>
          <x:t xml:space="preserve">MTB has lower drop &amp; shorter reach; TT has highest drop &amp; longest reach</x:t>
        </x:is>
      </x:c>
      <x:c r="H25" s="12" t="str">
        <x:f>IF(AND($E$22&lt;$E$23,$E$23&lt;$E$24,$E$24&lt;$E$25,$D$22&lt;$D$23,$D$23&lt;$D$24,$D$24&lt;$D$25),"PASS","CHECK")</x:f>
        <x:v>PASS</x:v>
      </x:c>
    </x:row>
  </x:sheetData>
  <x:mergeCells>
    <x:mergeCell ref="A1:I1"/>
    <x:mergeCell ref="A12:I12"/>
    <x:mergeCell ref="A20:I20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customWidth="1"/>
    <x:col min="2" max="2" width="18" customWidth="1"/>
    <x:col min="3" max="3" width="18" customWidth="1"/>
    <x:col min="4" max="4" width="28" customWidth="1"/>
    <x:col min="5" max="5" width="18" customWidth="1"/>
    <x:col min="6" max="6" width="20" customWidth="1"/>
  </x:cols>
  <x:sheetData>
    <x:row r="1" ht="28" customHeight="1">
      <x:c r="A1" s="1" t="inlineStr">
        <x:is>
          <x:t xml:space="preserve">Assumptions &amp; tunable coefficients (edit with care)</x:t>
        </x:is>
      </x:c>
    </x:row>
    <x:row r="3">
      <x:c r="A3" s="2" t="inlineStr">
        <x:is>
          <x:t xml:space="preserve">Unit conversions</x:t>
        </x:is>
      </x:c>
    </x:row>
    <x:row r="4">
      <x:c r="A4" s="8" t="inlineStr">
        <x:is>
          <x:t xml:space="preserve">cm_to_mm</x:t>
        </x:is>
      </x:c>
      <x:c r="B4" s="17" t="n">
        <x:v>10</x:v>
      </x:c>
    </x:row>
    <x:row r="5">
      <x:c r="A5" s="8" t="inlineStr">
        <x:is>
          <x:t xml:space="preserve">deg_to_rad</x:t>
        </x:is>
      </x:c>
      <x:c r="B5" s="17">
        <x:f>PI()/180</x:f>
        <x:v>0.017453292519943295</x:v>
      </x:c>
    </x:row>
    <x:row r="6">
      <x:c r="A6" s="8" t="inlineStr">
        <x:is>
          <x:t xml:space="preserve">Flex_norm (0..1)</x:t>
        </x:is>
      </x:c>
      <x:c r="B6" s="17">
        <x:f>(Inputs!C13-1)/4</x:f>
        <x:v>0.5</x:v>
      </x:c>
    </x:row>
    <x:row r="8">
      <x:c r="A8" s="2" t="inlineStr">
        <x:is>
          <x:t xml:space="preserve">Body segment estimates (used only if the corresponding input is blank)</x:t>
        </x:is>
      </x:c>
    </x:row>
    <x:row r="9">
      <x:c r="A9" s="22" t="inlineStr">
        <x:is>
          <x:t xml:space="preserve">Torso_est = height_mm *</x:t>
        </x:is>
      </x:c>
      <x:c r="B9" s="5" t="n">
        <x:v>0.33</x:v>
      </x:c>
      <x:c r="C9" s="23" t="inlineStr">
        <x:is>
          <x:t xml:space="preserve">typical adult estimate</x:t>
        </x:is>
      </x:c>
    </x:row>
    <x:row r="10">
      <x:c r="A10" s="22" t="inlineStr">
        <x:is>
          <x:t xml:space="preserve">Arm_est = height_mm *</x:t>
        </x:is>
      </x:c>
      <x:c r="B10" s="5" t="n">
        <x:v>0.36</x:v>
      </x:c>
      <x:c r="C10" s="23" t="inlineStr">
        <x:is>
          <x:t xml:space="preserve">shoulder to wrist</x:t>
        </x:is>
      </x:c>
    </x:row>
    <x:row r="11">
      <x:c r="A11" s="22" t="inlineStr">
        <x:is>
          <x:t xml:space="preserve">Femur_est = height_mm *</x:t>
        </x:is>
      </x:c>
      <x:c r="B11" s="5" t="n">
        <x:v>0.245</x:v>
      </x:c>
      <x:c r="C11" s="23" t="inlineStr">
        <x:is>
          <x:t xml:space="preserve">hip to knee</x:t>
        </x:is>
      </x:c>
    </x:row>
    <x:row r="12">
      <x:c r="A12" s="22" t="inlineStr">
        <x:is>
          <x:t xml:space="preserve">Shoulder_est = height_mm *</x:t>
        </x:is>
      </x:c>
      <x:c r="B12" s="5" t="n">
        <x:v>0.23</x:v>
      </x:c>
      <x:c r="C12" s="23" t="inlineStr">
        <x:is>
          <x:t xml:space="preserve">acromion to acromion</x:t>
        </x:is>
      </x:c>
    </x:row>
    <x:row r="14">
      <x:c r="A14" s="2" t="inlineStr">
        <x:is>
          <x:t xml:space="preserve">Engine coefficients (base + style adjustments)</x:t>
        </x:is>
      </x:c>
    </x:row>
    <x:row r="15" ht="22" customHeight="1">
      <x:c r="A15" s="10" t="inlineStr">
        <x:is>
          <x:t xml:space="preserve">Parameter</x:t>
        </x:is>
      </x:c>
      <x:c r="B15" s="10" t="inlineStr">
        <x:is>
          <x:t xml:space="preserve">Base</x:t>
        </x:is>
      </x:c>
      <x:c r="C15" s="10" t="inlineStr">
        <x:is>
          <x:t xml:space="preserve">MTB Trail adj</x:t>
        </x:is>
      </x:c>
      <x:c r="D15" s="10" t="inlineStr">
        <x:is>
          <x:t xml:space="preserve">Road Endurance adj</x:t>
        </x:is>
      </x:c>
      <x:c r="E15" s="10" t="inlineStr">
        <x:is>
          <x:t xml:space="preserve">Road Race adj</x:t>
        </x:is>
      </x:c>
      <x:c r="F15" s="10" t="inlineStr">
        <x:is>
          <x:t xml:space="preserve">Time Trial/TT adj</x:t>
        </x:is>
      </x:c>
    </x:row>
    <x:row r="16">
      <x:c r="A16" s="3" t="inlineStr">
        <x:is>
          <x:t xml:space="preserve">Saddle height coeff (× inseam_mm)</x:t>
        </x:is>
      </x:c>
      <x:c r="B16" s="5" t="n">
        <x:v>0.883</x:v>
      </x:c>
      <x:c r="C16" s="5" t="n">
        <x:v>-0.003</x:v>
      </x:c>
      <x:c r="D16" s="5" t="n">
        <x:v>-0.001</x:v>
      </x:c>
      <x:c r="E16" s="5" t="n">
        <x:v>0</x:v>
      </x:c>
      <x:c r="F16" s="5" t="n">
        <x:v>0.002</x:v>
      </x:c>
    </x:row>
    <x:row r="17">
      <x:c r="A17" s="3" t="inlineStr">
        <x:is>
          <x:t xml:space="preserve">Saddle setback style adj (mm)</x:t>
        </x:is>
      </x:c>
      <x:c r="B17" s="5" t="n">
        <x:v>0</x:v>
      </x:c>
      <x:c r="C17" s="5" t="n">
        <x:v>-10</x:v>
      </x:c>
      <x:c r="D17" s="5" t="n">
        <x:v>5</x:v>
      </x:c>
      <x:c r="E17" s="5" t="n">
        <x:v>0</x:v>
      </x:c>
      <x:c r="F17" s="5" t="n">
        <x:v>-15</x:v>
      </x:c>
    </x:row>
    <x:row r="18">
      <x:c r="A18" s="3" t="inlineStr">
        <x:is>
          <x:t xml:space="preserve">Saddle-to-bar reach style adj (mm)</x:t>
        </x:is>
      </x:c>
      <x:c r="B18" s="5" t="n">
        <x:v>0</x:v>
      </x:c>
      <x:c r="C18" s="5" t="n">
        <x:v>-30</x:v>
      </x:c>
      <x:c r="D18" s="5" t="n">
        <x:v>-15</x:v>
      </x:c>
      <x:c r="E18" s="5" t="n">
        <x:v>15</x:v>
      </x:c>
      <x:c r="F18" s="5" t="n">
        <x:v>45</x:v>
      </x:c>
    </x:row>
    <x:row r="19">
      <x:c r="A19" s="3" t="inlineStr">
        <x:is>
          <x:t xml:space="preserve">Saddle-to-bar drop style adj (mm)</x:t>
        </x:is>
      </x:c>
      <x:c r="B19" s="5" t="n">
        <x:v>0</x:v>
      </x:c>
      <x:c r="C19" s="5" t="n">
        <x:v>-60</x:v>
      </x:c>
      <x:c r="D19" s="5" t="n">
        <x:v>-20</x:v>
      </x:c>
      <x:c r="E19" s="5" t="n">
        <x:v>10</x:v>
      </x:c>
      <x:c r="F19" s="5" t="n">
        <x:v>50</x:v>
      </x:c>
    </x:row>
    <x:row r="21" ht="20" customHeight="1">
      <x:c r="A21" s="3" t="inlineStr">
        <x:is>
          <x:t xml:space="preserve">Setback formula (mm) = femur_mm * a  - crank_mm * b  + style_adj</x:t>
        </x:is>
      </x:c>
      <x:c r="B21" s="5" t="n"/>
      <x:c r="C21" s="21" t="n"/>
      <x:c r="D21" s="2" t="inlineStr">
        <x:is>
          <x:t xml:space="preserve">Bar width rules</x:t>
        </x:is>
      </x:c>
    </x:row>
    <x:row r="22" ht="24" customHeight="1">
      <x:c r="A22" s="3" t="inlineStr">
        <x:is>
          <x:t xml:space="preserve">a (femur multiplier)</x:t>
        </x:is>
      </x:c>
      <x:c r="B22" s="5" t="n">
        <x:v>0.15</x:v>
      </x:c>
      <x:c r="C22" s="21" t="n"/>
      <x:c r="D22" s="3" t="inlineStr">
        <x:is>
          <x:t xml:space="preserve">Road bar width ≈ shoulder_mm rounded to</x:t>
        </x:is>
      </x:c>
      <x:c r="E22" s="27" t="n">
        <x:v>20</x:v>
      </x:c>
    </x:row>
    <x:row r="23" ht="24" customHeight="1">
      <x:c r="A23" s="3" t="inlineStr">
        <x:is>
          <x:t xml:space="preserve">b (crank multiplier)</x:t>
        </x:is>
      </x:c>
      <x:c r="B23" s="5" t="n">
        <x:v>0.06</x:v>
      </x:c>
      <x:c r="C23" s="21" t="n"/>
      <x:c r="D23" s="3" t="inlineStr">
        <x:is>
          <x:t xml:space="preserve">Road bar width clamp min</x:t>
        </x:is>
      </x:c>
      <x:c r="E23" s="27" t="n">
        <x:v>360</x:v>
      </x:c>
    </x:row>
    <x:row r="24" ht="24" customHeight="1">
      <x:c r="A24" s="3" t="inlineStr">
        <x:is>
          <x:t xml:space="preserve">Reach formula (mm) = (torso_mm + arm_mm) * c  + height_mm * d  + k  + style_adj + flex_adj</x:t>
        </x:is>
      </x:c>
      <x:c r="B24" s="5" t="n"/>
      <x:c r="C24" s="21" t="n"/>
      <x:c r="D24" s="3" t="inlineStr">
        <x:is>
          <x:t xml:space="preserve">Road bar width clamp max</x:t>
        </x:is>
      </x:c>
      <x:c r="E24" s="27" t="n">
        <x:v>460</x:v>
      </x:c>
    </x:row>
    <x:row r="25" ht="24" customHeight="1">
      <x:c r="A25" s="3" t="inlineStr">
        <x:is>
          <x:t xml:space="preserve">c</x:t>
        </x:is>
      </x:c>
      <x:c r="B25" s="5" t="n">
        <x:v>0.47</x:v>
      </x:c>
      <x:c r="C25" s="21" t="n"/>
      <x:c r="D25" s="3" t="inlineStr">
        <x:is>
          <x:t xml:space="preserve">MTB bar width multiplier × shoulder_mm</x:t>
        </x:is>
      </x:c>
      <x:c r="E25" s="27" t="n">
        <x:v>1.8</x:v>
      </x:c>
    </x:row>
    <x:row r="26" ht="24" customHeight="1">
      <x:c r="A26" s="3" t="inlineStr">
        <x:is>
          <x:t xml:space="preserve">d</x:t>
        </x:is>
      </x:c>
      <x:c r="B26" s="5" t="n">
        <x:v>0.03</x:v>
      </x:c>
      <x:c r="C26" s="21" t="n"/>
      <x:c r="D26" s="3" t="inlineStr">
        <x:is>
          <x:t xml:space="preserve">MTB bar width rounded to</x:t>
        </x:is>
      </x:c>
      <x:c r="E26" s="27" t="n">
        <x:v>10</x:v>
      </x:c>
    </x:row>
    <x:row r="27" ht="24" customHeight="1">
      <x:c r="A27" s="3" t="inlineStr">
        <x:is>
          <x:t xml:space="preserve">k (constant)</x:t>
        </x:is>
      </x:c>
      <x:c r="B27" s="5" t="n">
        <x:v>-220</x:v>
      </x:c>
      <x:c r="C27" s="21" t="n"/>
      <x:c r="D27" s="3" t="inlineStr">
        <x:is>
          <x:t xml:space="preserve">MTB bar width clamp min</x:t>
        </x:is>
      </x:c>
      <x:c r="E27" s="27" t="n">
        <x:v>720</x:v>
      </x:c>
    </x:row>
    <x:row r="28" ht="24" customHeight="1">
      <x:c r="A28" s="3" t="inlineStr">
        <x:is>
          <x:t xml:space="preserve">Flex reach gain (mm) at Flex_norm=1</x:t>
        </x:is>
      </x:c>
      <x:c r="B28" s="5" t="n">
        <x:v>15</x:v>
      </x:c>
      <x:c r="C28" s="21" t="n"/>
      <x:c r="D28" s="3" t="inlineStr">
        <x:is>
          <x:t xml:space="preserve">MTB bar width clamp max</x:t>
        </x:is>
      </x:c>
      <x:c r="E28" s="27" t="n">
        <x:v>820</x:v>
      </x:c>
    </x:row>
    <x:row r="29">
      <x:c r="A29" s="3" t="inlineStr">
        <x:is>
          <x:t xml:space="preserve">Drop formula (mm) = height_mm * (e + f*Flex_norm) + g + style_adj</x:t>
        </x:is>
      </x:c>
      <x:c r="B29" s="5" t="n"/>
      <x:c r="C29" s="21" t="n"/>
    </x:row>
    <x:row r="30">
      <x:c r="A30" s="3" t="inlineStr">
        <x:is>
          <x:t xml:space="preserve">e</x:t>
        </x:is>
      </x:c>
      <x:c r="B30" s="5" t="n">
        <x:v>0.06</x:v>
      </x:c>
      <x:c r="C30" s="21" t="n"/>
    </x:row>
    <x:row r="31">
      <x:c r="A31" s="3" t="inlineStr">
        <x:is>
          <x:t xml:space="preserve">f</x:t>
        </x:is>
      </x:c>
      <x:c r="B31" s="5" t="n">
        <x:v>0.02</x:v>
      </x:c>
      <x:c r="C31" s="21" t="n"/>
    </x:row>
    <x:row r="32">
      <x:c r="A32" s="3" t="inlineStr">
        <x:is>
          <x:t xml:space="preserve">g</x:t>
        </x:is>
      </x:c>
      <x:c r="B32" s="5" t="n">
        <x:v>-40</x:v>
      </x:c>
      <x:c r="C32" s="21" t="n"/>
    </x:row>
    <x:row r="34">
      <x:c r="A34" s="2" t="inlineStr">
        <x:is>
          <x:t xml:space="preserve">Crank length heuristic</x:t>
        </x:is>
      </x:c>
    </x:row>
    <x:row r="35">
      <x:c r="A35" t="inlineStr">
        <x:is>
          <x:t xml:space="preserve">Ideal crank = inseam_mm *</x:t>
        </x:is>
      </x:c>
      <x:c r="B35" t="n">
        <x:v>0.216</x:v>
      </x:c>
    </x:row>
    <x:row r="36">
      <x:c r="A36" t="inlineStr">
        <x:is>
          <x:t xml:space="preserve">Clamp min</x:t>
        </x:is>
      </x:c>
      <x:c r="B36" t="n">
        <x:v>165</x:v>
      </x:c>
    </x:row>
    <x:row r="37">
      <x:c r="A37" t="inlineStr">
        <x:is>
          <x:t xml:space="preserve">Clamp max</x:t>
        </x:is>
      </x:c>
      <x:c r="B37" t="n">
        <x:v>175</x:v>
      </x:c>
    </x:row>
    <x:row r="38">
      <x:c r="A38" s="8" t="inlineStr">
        <x:is>
          <x:t xml:space="preserve">Available options (mm)</x:t>
        </x:is>
      </x:c>
      <x:c r="B38" s="17" t="n">
        <x:v>165</x:v>
      </x:c>
    </x:row>
    <x:row r="39">
      <x:c r="B39" s="17" t="n">
        <x:v>167.5</x:v>
      </x:c>
    </x:row>
    <x:row r="40">
      <x:c r="B40" s="17" t="n">
        <x:v>170</x:v>
      </x:c>
    </x:row>
    <x:row r="41">
      <x:c r="B41" s="17" t="n">
        <x:v>172.5</x:v>
      </x:c>
    </x:row>
    <x:row r="42">
      <x:c r="B42" s="17" t="n">
        <x:v>175</x:v>
      </x:c>
    </x:row>
  </x:sheetData>
  <x:mergeCells>
    <x:mergeCell ref="A34:E34"/>
    <x:mergeCell ref="D21:E21"/>
    <x:mergeCell ref="A14:E14"/>
    <x:mergeCell ref="A1:E1"/>
    <x:mergeCell ref="A8:E8"/>
    <x:mergeCell ref="A3:E3"/>
  </x:mergeCells>
  <x:pageMargins left="0.7" right="0.7" top="0.75" bottom="0.75" header="0.3" footer="0.3"/>
</x:worksheet>
</file>